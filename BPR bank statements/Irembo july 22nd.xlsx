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131" documentId="11_3D495E008F439B647D33B40DA239516721F4E5F2" xr6:coauthVersionLast="47" xr6:coauthVersionMax="47" xr10:uidLastSave="{469EB065-4D0F-4DCB-8E01-621BCA79C815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8" i="1"/>
  <c r="D30" i="1"/>
  <c r="D31" i="1"/>
  <c r="D32" i="1"/>
  <c r="D34" i="1"/>
  <c r="D35" i="1"/>
  <c r="D36" i="1"/>
  <c r="D39" i="1"/>
  <c r="D40" i="1"/>
  <c r="D43" i="1"/>
  <c r="D44" i="1"/>
  <c r="D46" i="1"/>
  <c r="D47" i="1"/>
  <c r="D49" i="1"/>
  <c r="D51" i="1"/>
  <c r="D53" i="1"/>
  <c r="D54" i="1"/>
  <c r="D57" i="1"/>
  <c r="D60" i="1"/>
  <c r="D62" i="1"/>
  <c r="D64" i="1"/>
  <c r="D65" i="1"/>
  <c r="D68" i="1"/>
  <c r="D70" i="1"/>
  <c r="D72" i="1"/>
  <c r="D83" i="1"/>
  <c r="D84" i="1"/>
  <c r="D90" i="1"/>
  <c r="D2" i="1"/>
</calcChain>
</file>

<file path=xl/sharedStrings.xml><?xml version="1.0" encoding="utf-8"?>
<sst xmlns="http://schemas.openxmlformats.org/spreadsheetml/2006/main" count="487" uniqueCount="205">
  <si>
    <t>BOOKING_DATE</t>
  </si>
  <si>
    <t>BANK_REFERENCE</t>
  </si>
  <si>
    <t>DESCRIPTION</t>
  </si>
  <si>
    <t>INVOICE</t>
  </si>
  <si>
    <t>VALUE_DATE</t>
  </si>
  <si>
    <t>DEBIT</t>
  </si>
  <si>
    <t>CREDIT</t>
  </si>
  <si>
    <t>CLOSING_BALANCE</t>
  </si>
  <si>
    <t>2026-07-22</t>
  </si>
  <si>
    <t>FT26203X83VX</t>
  </si>
  <si>
    <t>SZS00LM9ABD0</t>
  </si>
  <si>
    <t>22-JUL-26</t>
  </si>
  <si>
    <t>FT26203M8W1J</t>
  </si>
  <si>
    <t>SZ400LR0VQJY</t>
  </si>
  <si>
    <t>FT2620360GXW</t>
  </si>
  <si>
    <t>SZE00LS5XMAX</t>
  </si>
  <si>
    <t>FT26203Q85CX</t>
  </si>
  <si>
    <t>SZ700LL3Q1KC</t>
  </si>
  <si>
    <t>FT2620309DLZ</t>
  </si>
  <si>
    <t>20144649841</t>
  </si>
  <si>
    <t>FT262031K77D</t>
  </si>
  <si>
    <t>SZL00LSES847</t>
  </si>
  <si>
    <t>FT262032TD10</t>
  </si>
  <si>
    <t>SZW00LGPX9WU</t>
  </si>
  <si>
    <t>FT26203Z9J7J</t>
  </si>
  <si>
    <t>SZR00LHC6U89</t>
  </si>
  <si>
    <t>FT26203GK1ZH</t>
  </si>
  <si>
    <t>SZR00LNCLLW3</t>
  </si>
  <si>
    <t>FT26203Z3HQF</t>
  </si>
  <si>
    <t>SZQ00LYZU7F6</t>
  </si>
  <si>
    <t>FT26203M4W09</t>
  </si>
  <si>
    <t>SZ100LAVE88X</t>
  </si>
  <si>
    <t>FT26203LH1DK</t>
  </si>
  <si>
    <t>SZL00LMNK9SJ</t>
  </si>
  <si>
    <t>FT26203Y9CCF</t>
  </si>
  <si>
    <t>SZM00LJRCLE1</t>
  </si>
  <si>
    <t>FT262039H3ZT</t>
  </si>
  <si>
    <t>SZS00LT8QU7Z</t>
  </si>
  <si>
    <t>FT26203C1Q4N</t>
  </si>
  <si>
    <t>SZ900LLHBCV8</t>
  </si>
  <si>
    <t>FT262039PC72</t>
  </si>
  <si>
    <t xml:space="preserve"> </t>
  </si>
  <si>
    <t>FT26203MSNNR</t>
  </si>
  <si>
    <t>SZD00LN2P4UC</t>
  </si>
  <si>
    <t>FT262030LZWX</t>
  </si>
  <si>
    <t>SZP00LJX0L4B</t>
  </si>
  <si>
    <t>FT26203MN8MP</t>
  </si>
  <si>
    <t>SZ800LN7UJM8</t>
  </si>
  <si>
    <t>FT26203VXV6C</t>
  </si>
  <si>
    <t>SZV00LLNDGGR</t>
  </si>
  <si>
    <t>FT26203CVPK7</t>
  </si>
  <si>
    <t>SZJ00LVD33GH</t>
  </si>
  <si>
    <t>FT26203MMJDJ</t>
  </si>
  <si>
    <t>SZC00L43GNDH</t>
  </si>
  <si>
    <t>FT26203Z0P3M</t>
  </si>
  <si>
    <t>FT262032P6PP</t>
  </si>
  <si>
    <t>SZ500LUE9ZDC</t>
  </si>
  <si>
    <t>FT26203TK4VC</t>
  </si>
  <si>
    <t>20144648712</t>
  </si>
  <si>
    <t>FT262030NXNZ</t>
  </si>
  <si>
    <t>20144650027</t>
  </si>
  <si>
    <t>FT26203HQTQR</t>
  </si>
  <si>
    <t>SZX00LL0751E</t>
  </si>
  <si>
    <t>FT26203Z13MN</t>
  </si>
  <si>
    <t>SZ100LUH3DS8</t>
  </si>
  <si>
    <t>FT26203LKQDL</t>
  </si>
  <si>
    <t>SZD00LG1TKBS</t>
  </si>
  <si>
    <t>FT26203HX06Q</t>
  </si>
  <si>
    <t>SZN00LHWQXZ5</t>
  </si>
  <si>
    <t>FT26203CJH67</t>
  </si>
  <si>
    <t>SZW00LSSG22B</t>
  </si>
  <si>
    <t>FT26203QNYPP</t>
  </si>
  <si>
    <t>20144640172</t>
  </si>
  <si>
    <t>FT26203RF70C</t>
  </si>
  <si>
    <t>SZV00LTSR1Z5</t>
  </si>
  <si>
    <t>FT26203X2BZY</t>
  </si>
  <si>
    <t>SZG00LLDAAZ2</t>
  </si>
  <si>
    <t>FT26203TJ49S</t>
  </si>
  <si>
    <t>SZH00L3M9A4Q</t>
  </si>
  <si>
    <t>FT262034MCZ5</t>
  </si>
  <si>
    <t>SZ800L1QHTZK</t>
  </si>
  <si>
    <t>FT26203S2KD4</t>
  </si>
  <si>
    <t>SZ900LSZ6C3P</t>
  </si>
  <si>
    <t>FT26203GSQKD</t>
  </si>
  <si>
    <t>SZD00LFQWB2Q</t>
  </si>
  <si>
    <t>FT26203P1J93</t>
  </si>
  <si>
    <t>SZJ00LL6CKF9</t>
  </si>
  <si>
    <t>FT26203WHK50</t>
  </si>
  <si>
    <t>SZB00LLCUC3Y</t>
  </si>
  <si>
    <t>FT26203XKRM6</t>
  </si>
  <si>
    <t>20144640999</t>
  </si>
  <si>
    <t>FT26203QDX10</t>
  </si>
  <si>
    <t>SZD00LLHXPYZ</t>
  </si>
  <si>
    <t>FT26203FLNFJ</t>
  </si>
  <si>
    <t>SZK00L050L4L</t>
  </si>
  <si>
    <t>FT26203WZ3TJ</t>
  </si>
  <si>
    <t>20144644045</t>
  </si>
  <si>
    <t>FT262030D4TQ</t>
  </si>
  <si>
    <t>SZM00LLSMC5C</t>
  </si>
  <si>
    <t>FT262038VKVH</t>
  </si>
  <si>
    <t>SZE00LNZNEUM</t>
  </si>
  <si>
    <t>FT26203TZRK6</t>
  </si>
  <si>
    <t>SZ000L8UQFZ6</t>
  </si>
  <si>
    <t>FT26203NR41Y</t>
  </si>
  <si>
    <t>SZM00LG7DTW6</t>
  </si>
  <si>
    <t>FT262030MT97</t>
  </si>
  <si>
    <t>SZ800LNKU659</t>
  </si>
  <si>
    <t>FT262036CR6L</t>
  </si>
  <si>
    <t>SZU00LXG5G7C</t>
  </si>
  <si>
    <t>FT26203V77QC</t>
  </si>
  <si>
    <t>SZ300L1FANUX</t>
  </si>
  <si>
    <t>FT26203D0PR7</t>
  </si>
  <si>
    <t>SZH00LMKTKBU</t>
  </si>
  <si>
    <t>FT2620345JKZ</t>
  </si>
  <si>
    <t>SZK00LN80KBE</t>
  </si>
  <si>
    <t>FT26203XT15Z</t>
  </si>
  <si>
    <t>SZ400LU3M25B</t>
  </si>
  <si>
    <t>FT26203ZFSM1</t>
  </si>
  <si>
    <t>SZ600LDYHA96</t>
  </si>
  <si>
    <t>FT26203ZNT15</t>
  </si>
  <si>
    <t>SZK00LJPR3TM</t>
  </si>
  <si>
    <t>FT26203R6QB4</t>
  </si>
  <si>
    <t>SZ900LTXCVX1</t>
  </si>
  <si>
    <t>FT26203959TL</t>
  </si>
  <si>
    <t>SZ300LMNVPVF</t>
  </si>
  <si>
    <t>FT26203WC3HM</t>
  </si>
  <si>
    <t>SZP00LBRB1HG</t>
  </si>
  <si>
    <t>FT262037G12R</t>
  </si>
  <si>
    <t>SZF00LG4TJYQ</t>
  </si>
  <si>
    <t>FT26203BH5BB</t>
  </si>
  <si>
    <t>SZX00LL9GHBF</t>
  </si>
  <si>
    <t>FT26203HCKDT</t>
  </si>
  <si>
    <t>SZA00L86KPFY</t>
  </si>
  <si>
    <t>FT26203716QP</t>
  </si>
  <si>
    <t>SZR00LT6XF0A</t>
  </si>
  <si>
    <t>FT262035PRV7</t>
  </si>
  <si>
    <t>SZP00L218CE2</t>
  </si>
  <si>
    <t>FT26203WJNYT</t>
  </si>
  <si>
    <t>SZ800LUCJXYG</t>
  </si>
  <si>
    <t>FT2620314PDB</t>
  </si>
  <si>
    <t>20144641068</t>
  </si>
  <si>
    <t>FT262035YTQP</t>
  </si>
  <si>
    <t>SZN00LVN4DBG</t>
  </si>
  <si>
    <t>FT26203ZXKY5</t>
  </si>
  <si>
    <t>SZ200LEAQ9AL</t>
  </si>
  <si>
    <t>FT2620388HQH</t>
  </si>
  <si>
    <t>SZN00LG0DKDU</t>
  </si>
  <si>
    <t>FT262036ZMV8</t>
  </si>
  <si>
    <t>SZE00L6G6W9F</t>
  </si>
  <si>
    <t>FT2620391774</t>
  </si>
  <si>
    <t>SZX00LCV5XVZ</t>
  </si>
  <si>
    <t>FT2620393DXV</t>
  </si>
  <si>
    <t>SZJ00LCH125Q</t>
  </si>
  <si>
    <t>FT26203SW2ZG</t>
  </si>
  <si>
    <t>SZK00LU2LNXX</t>
  </si>
  <si>
    <t>FT26203W8SL4</t>
  </si>
  <si>
    <t>SZ900LLHUZAG</t>
  </si>
  <si>
    <t>FT26203T4XZV</t>
  </si>
  <si>
    <t>SZ300LPEAE5S</t>
  </si>
  <si>
    <t>FT26203HQ9T6</t>
  </si>
  <si>
    <t>20144640975</t>
  </si>
  <si>
    <t>FT26203FR4ZB</t>
  </si>
  <si>
    <t>SZF00LJH1FP0</t>
  </si>
  <si>
    <t>FT26203YYDT1</t>
  </si>
  <si>
    <t>20144640086</t>
  </si>
  <si>
    <t>FT26203GVTYR</t>
  </si>
  <si>
    <t>SZL00LUZL9HU</t>
  </si>
  <si>
    <t>FT26203G7Y1B</t>
  </si>
  <si>
    <t>SZC00LW28CCY</t>
  </si>
  <si>
    <t>FT262039ZVHD</t>
  </si>
  <si>
    <t>SZ500LCK3KRV</t>
  </si>
  <si>
    <t>FT26203JHNCM</t>
  </si>
  <si>
    <t>SZY00LMVHL8B</t>
  </si>
  <si>
    <t>FT2620389LHP</t>
  </si>
  <si>
    <t>SZY00LTPDT91</t>
  </si>
  <si>
    <t>FT26203YJSMK</t>
  </si>
  <si>
    <t>SZ800LTZZYKH</t>
  </si>
  <si>
    <t>FT26203JJGZ0</t>
  </si>
  <si>
    <t>SZ900LT2BNED</t>
  </si>
  <si>
    <t>FT26203J32Y2</t>
  </si>
  <si>
    <t>SZP00LF85L78</t>
  </si>
  <si>
    <t>FT262037L9LR</t>
  </si>
  <si>
    <t>SZ300LK5614L</t>
  </si>
  <si>
    <t>FT26203M7YHT</t>
  </si>
  <si>
    <t>SZP00LLQEARP</t>
  </si>
  <si>
    <t>FT26203X5HND</t>
  </si>
  <si>
    <t>SZX00LKJVCUY</t>
  </si>
  <si>
    <t>FT26203MHWTY</t>
  </si>
  <si>
    <t>SZC00LLNTDDW</t>
  </si>
  <si>
    <t>FT26203FQT6Q</t>
  </si>
  <si>
    <t>SZU00LMF7NUR</t>
  </si>
  <si>
    <t>FT262037Y4H0</t>
  </si>
  <si>
    <t>SZR00LEC4D5T</t>
  </si>
  <si>
    <t>FT26203S0STB</t>
  </si>
  <si>
    <t>20144649615</t>
  </si>
  <si>
    <t>FT262039RNQZ</t>
  </si>
  <si>
    <t>SZH00LJ1AFR0</t>
  </si>
  <si>
    <t>FT26203RSSD1</t>
  </si>
  <si>
    <t>SZ600LWZB1J3</t>
  </si>
  <si>
    <t>FT26203R7ZXF</t>
  </si>
  <si>
    <t>SZV00LYXTSJD</t>
  </si>
  <si>
    <t>FT26203LZ2HZ</t>
  </si>
  <si>
    <t>SZ800LC7TBPK</t>
  </si>
  <si>
    <t>FT26203KVBT5</t>
  </si>
  <si>
    <t>20144643359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</si>
</sst>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"/>
  <sheetViews>
    <sheetView tabSelected="1" workbookViewId="0">
      <pane ySplit="1" topLeftCell="A75" activePane="bottomLeft" state="frozen"/>
      <selection pane="bottomLeft" activeCell="A2" sqref="A2:H99"/>
    </sheetView>
  </sheetViews>
  <sheetFormatPr defaultRowHeight="14.45"/>
  <cols>
    <col min="1" max="1" width="15.42578125" customWidth="1"/>
    <col min="2" max="2" width="15.85546875" bestFit="1" customWidth="1"/>
    <col min="3" max="3" width="14.5703125" bestFit="1" customWidth="1"/>
    <col min="4" max="4" width="14.5703125" customWidth="1"/>
    <col min="5" max="5" width="11.28515625" bestFit="1" customWidth="1"/>
    <col min="7" max="7" width="8.42578125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4">
        <f>VLOOKUP(C2,SQL!C2:D99,2,FALSE)</f>
        <v>886203135821</v>
      </c>
      <c r="E2" t="s">
        <v>11</v>
      </c>
      <c r="F2" s="1">
        <v>0</v>
      </c>
      <c r="G2" s="1">
        <v>500</v>
      </c>
      <c r="H2" s="1">
        <v>537500</v>
      </c>
    </row>
    <row r="3" spans="1:8">
      <c r="A3" t="s">
        <v>8</v>
      </c>
      <c r="B3" t="s">
        <v>12</v>
      </c>
      <c r="C3" t="s">
        <v>13</v>
      </c>
      <c r="D3" s="4">
        <f>VLOOKUP(C3,SQL!C3:D100,2,FALSE)</f>
        <v>886203681601</v>
      </c>
      <c r="E3" t="s">
        <v>11</v>
      </c>
      <c r="F3" s="1">
        <v>0</v>
      </c>
      <c r="G3" s="1">
        <v>18000</v>
      </c>
      <c r="H3" s="1">
        <v>555500</v>
      </c>
    </row>
    <row r="4" spans="1:8">
      <c r="A4" t="s">
        <v>8</v>
      </c>
      <c r="B4" t="s">
        <v>14</v>
      </c>
      <c r="C4" t="s">
        <v>15</v>
      </c>
      <c r="D4" s="4">
        <f>VLOOKUP(C4,SQL!C4:D101,2,FALSE)</f>
        <v>886203649777</v>
      </c>
      <c r="E4" t="s">
        <v>11</v>
      </c>
      <c r="F4" s="1">
        <v>0</v>
      </c>
      <c r="G4" s="1">
        <v>10000</v>
      </c>
      <c r="H4" s="1">
        <v>565500</v>
      </c>
    </row>
    <row r="5" spans="1:8">
      <c r="A5" t="s">
        <v>8</v>
      </c>
      <c r="B5" t="s">
        <v>16</v>
      </c>
      <c r="C5" t="s">
        <v>17</v>
      </c>
      <c r="D5" s="4">
        <f>VLOOKUP(C5,SQL!C5:D102,2,FALSE)</f>
        <v>886203958617</v>
      </c>
      <c r="E5" t="s">
        <v>11</v>
      </c>
      <c r="F5" s="1">
        <v>0</v>
      </c>
      <c r="G5" s="1">
        <v>20000</v>
      </c>
      <c r="H5" s="1">
        <v>50500</v>
      </c>
    </row>
    <row r="6" spans="1:8">
      <c r="A6" t="s">
        <v>8</v>
      </c>
      <c r="B6" t="s">
        <v>18</v>
      </c>
      <c r="C6" t="s">
        <v>19</v>
      </c>
      <c r="D6" s="3">
        <v>886203343724</v>
      </c>
      <c r="E6" t="s">
        <v>11</v>
      </c>
      <c r="F6" s="1">
        <v>0</v>
      </c>
      <c r="G6" s="1">
        <v>10000</v>
      </c>
      <c r="H6" s="1">
        <v>60500</v>
      </c>
    </row>
    <row r="7" spans="1:8">
      <c r="A7" t="s">
        <v>8</v>
      </c>
      <c r="B7" t="s">
        <v>20</v>
      </c>
      <c r="C7" t="s">
        <v>21</v>
      </c>
      <c r="D7" s="4">
        <f>VLOOKUP(C7,SQL!C7:D104,2,FALSE)</f>
        <v>886203291562</v>
      </c>
      <c r="E7" t="s">
        <v>11</v>
      </c>
      <c r="F7" s="1">
        <v>0</v>
      </c>
      <c r="G7" s="1">
        <v>24000</v>
      </c>
      <c r="H7" s="1">
        <v>84500</v>
      </c>
    </row>
    <row r="8" spans="1:8">
      <c r="A8" t="s">
        <v>8</v>
      </c>
      <c r="B8" t="s">
        <v>22</v>
      </c>
      <c r="C8" t="s">
        <v>23</v>
      </c>
      <c r="D8" s="4">
        <f>VLOOKUP(C8,SQL!C8:D105,2,FALSE)</f>
        <v>886203694311</v>
      </c>
      <c r="E8" t="s">
        <v>11</v>
      </c>
      <c r="F8" s="1">
        <v>0</v>
      </c>
      <c r="G8" s="1">
        <v>15000</v>
      </c>
      <c r="H8" s="1">
        <v>99500</v>
      </c>
    </row>
    <row r="9" spans="1:8">
      <c r="A9" t="s">
        <v>8</v>
      </c>
      <c r="B9" t="s">
        <v>24</v>
      </c>
      <c r="C9" t="s">
        <v>25</v>
      </c>
      <c r="D9" s="4">
        <f>VLOOKUP(C9,SQL!C9:D106,2,FALSE)</f>
        <v>886203511487</v>
      </c>
      <c r="E9" t="s">
        <v>11</v>
      </c>
      <c r="F9" s="1">
        <v>0</v>
      </c>
      <c r="G9" s="1">
        <v>500</v>
      </c>
      <c r="H9" s="1">
        <v>100000</v>
      </c>
    </row>
    <row r="10" spans="1:8">
      <c r="A10" t="s">
        <v>8</v>
      </c>
      <c r="B10" t="s">
        <v>26</v>
      </c>
      <c r="C10" t="s">
        <v>27</v>
      </c>
      <c r="D10" s="4">
        <f>VLOOKUP(C10,SQL!C10:D107,2,FALSE)</f>
        <v>886203511786</v>
      </c>
      <c r="E10" t="s">
        <v>11</v>
      </c>
      <c r="F10" s="1">
        <v>0</v>
      </c>
      <c r="G10" s="1">
        <v>3000</v>
      </c>
      <c r="H10" s="1">
        <v>103000</v>
      </c>
    </row>
    <row r="11" spans="1:8">
      <c r="A11" t="s">
        <v>8</v>
      </c>
      <c r="B11" t="s">
        <v>28</v>
      </c>
      <c r="C11" t="s">
        <v>29</v>
      </c>
      <c r="D11" s="4">
        <f>VLOOKUP(C11,SQL!C11:D108,2,FALSE)</f>
        <v>886203900186</v>
      </c>
      <c r="E11" t="s">
        <v>11</v>
      </c>
      <c r="F11" s="1">
        <v>0</v>
      </c>
      <c r="G11" s="1">
        <v>50000</v>
      </c>
      <c r="H11" s="1">
        <v>153000</v>
      </c>
    </row>
    <row r="12" spans="1:8">
      <c r="A12" t="s">
        <v>8</v>
      </c>
      <c r="B12" t="s">
        <v>30</v>
      </c>
      <c r="C12" t="s">
        <v>31</v>
      </c>
      <c r="D12" s="4">
        <f>VLOOKUP(C12,SQL!C12:D109,2,FALSE)</f>
        <v>886203295094</v>
      </c>
      <c r="E12" t="s">
        <v>11</v>
      </c>
      <c r="F12" s="1">
        <v>0</v>
      </c>
      <c r="G12" s="1">
        <v>5000</v>
      </c>
      <c r="H12" s="1">
        <v>158000</v>
      </c>
    </row>
    <row r="13" spans="1:8">
      <c r="A13" t="s">
        <v>8</v>
      </c>
      <c r="B13" t="s">
        <v>32</v>
      </c>
      <c r="C13" t="s">
        <v>33</v>
      </c>
      <c r="D13" s="4">
        <f>VLOOKUP(C13,SQL!C13:D110,2,FALSE)</f>
        <v>886203954518</v>
      </c>
      <c r="E13" t="s">
        <v>11</v>
      </c>
      <c r="F13" s="1">
        <v>0</v>
      </c>
      <c r="G13" s="1">
        <v>500</v>
      </c>
      <c r="H13" s="1">
        <v>158500</v>
      </c>
    </row>
    <row r="14" spans="1:8">
      <c r="A14" t="s">
        <v>8</v>
      </c>
      <c r="B14" t="s">
        <v>34</v>
      </c>
      <c r="C14" t="s">
        <v>35</v>
      </c>
      <c r="D14" s="4">
        <f>VLOOKUP(C14,SQL!C14:D111,2,FALSE)</f>
        <v>886203273252</v>
      </c>
      <c r="E14" t="s">
        <v>11</v>
      </c>
      <c r="F14" s="1">
        <v>0</v>
      </c>
      <c r="G14" s="1">
        <v>500</v>
      </c>
      <c r="H14" s="1">
        <v>159000</v>
      </c>
    </row>
    <row r="15" spans="1:8">
      <c r="A15" t="s">
        <v>8</v>
      </c>
      <c r="B15" t="s">
        <v>36</v>
      </c>
      <c r="C15" t="s">
        <v>37</v>
      </c>
      <c r="D15" s="4">
        <f>VLOOKUP(C15,SQL!C15:D112,2,FALSE)</f>
        <v>886203673200</v>
      </c>
      <c r="E15" t="s">
        <v>11</v>
      </c>
      <c r="F15" s="1">
        <v>0</v>
      </c>
      <c r="G15" s="1">
        <v>500</v>
      </c>
      <c r="H15" s="1">
        <v>159500</v>
      </c>
    </row>
    <row r="16" spans="1:8">
      <c r="A16" t="s">
        <v>8</v>
      </c>
      <c r="B16" t="s">
        <v>38</v>
      </c>
      <c r="C16" t="s">
        <v>39</v>
      </c>
      <c r="D16" s="4">
        <f>VLOOKUP(C16,SQL!C16:D113,2,FALSE)</f>
        <v>886203984153</v>
      </c>
      <c r="E16" t="s">
        <v>11</v>
      </c>
      <c r="F16" s="1">
        <v>0</v>
      </c>
      <c r="G16" s="1">
        <v>500</v>
      </c>
      <c r="H16" s="1">
        <v>160000</v>
      </c>
    </row>
    <row r="17" spans="1:8">
      <c r="A17" t="s">
        <v>8</v>
      </c>
      <c r="B17" t="s">
        <v>40</v>
      </c>
      <c r="C17" t="s">
        <v>41</v>
      </c>
      <c r="D17" s="4">
        <v>886051822939</v>
      </c>
      <c r="E17" t="s">
        <v>11</v>
      </c>
      <c r="F17" s="1">
        <v>0</v>
      </c>
      <c r="G17" s="1">
        <v>8820900</v>
      </c>
      <c r="H17" s="1">
        <v>8980900</v>
      </c>
    </row>
    <row r="18" spans="1:8">
      <c r="A18" t="s">
        <v>8</v>
      </c>
      <c r="B18" t="s">
        <v>42</v>
      </c>
      <c r="C18" t="s">
        <v>43</v>
      </c>
      <c r="D18" s="4">
        <f>VLOOKUP(C18,SQL!C18:D115,2,FALSE)</f>
        <v>886203704871</v>
      </c>
      <c r="E18" t="s">
        <v>11</v>
      </c>
      <c r="F18" s="1">
        <v>0</v>
      </c>
      <c r="G18" s="1">
        <v>500</v>
      </c>
      <c r="H18" s="1">
        <v>8981400</v>
      </c>
    </row>
    <row r="19" spans="1:8">
      <c r="A19" t="s">
        <v>8</v>
      </c>
      <c r="B19" t="s">
        <v>44</v>
      </c>
      <c r="C19" t="s">
        <v>45</v>
      </c>
      <c r="D19" s="4">
        <f>VLOOKUP(C19,SQL!C19:D116,2,FALSE)</f>
        <v>886203631950</v>
      </c>
      <c r="E19" t="s">
        <v>11</v>
      </c>
      <c r="F19" s="1">
        <v>0</v>
      </c>
      <c r="G19" s="1">
        <v>500</v>
      </c>
      <c r="H19" s="1">
        <v>8981900</v>
      </c>
    </row>
    <row r="20" spans="1:8">
      <c r="A20" t="s">
        <v>8</v>
      </c>
      <c r="B20" t="s">
        <v>46</v>
      </c>
      <c r="C20" t="s">
        <v>47</v>
      </c>
      <c r="D20" s="4">
        <f>VLOOKUP(C20,SQL!C20:D117,2,FALSE)</f>
        <v>886203703862</v>
      </c>
      <c r="E20" t="s">
        <v>11</v>
      </c>
      <c r="F20" s="1">
        <v>0</v>
      </c>
      <c r="G20" s="1">
        <v>500</v>
      </c>
      <c r="H20" s="1">
        <v>8982400</v>
      </c>
    </row>
    <row r="21" spans="1:8">
      <c r="A21" t="s">
        <v>8</v>
      </c>
      <c r="B21" t="s">
        <v>48</v>
      </c>
      <c r="C21" t="s">
        <v>49</v>
      </c>
      <c r="D21" s="4">
        <f>VLOOKUP(C21,SQL!C21:D118,2,FALSE)</f>
        <v>886203503239</v>
      </c>
      <c r="E21" t="s">
        <v>11</v>
      </c>
      <c r="F21" s="1">
        <v>0</v>
      </c>
      <c r="G21" s="1">
        <v>500</v>
      </c>
      <c r="H21" s="1">
        <v>8982900</v>
      </c>
    </row>
    <row r="22" spans="1:8">
      <c r="A22" t="s">
        <v>8</v>
      </c>
      <c r="B22" t="s">
        <v>50</v>
      </c>
      <c r="C22" t="s">
        <v>51</v>
      </c>
      <c r="D22" s="4">
        <f>VLOOKUP(C22,SQL!C22:D119,2,FALSE)</f>
        <v>886203386307</v>
      </c>
      <c r="E22" t="s">
        <v>11</v>
      </c>
      <c r="F22" s="1">
        <v>0</v>
      </c>
      <c r="G22" s="1">
        <v>20000</v>
      </c>
      <c r="H22" s="1">
        <v>9002900</v>
      </c>
    </row>
    <row r="23" spans="1:8">
      <c r="A23" t="s">
        <v>8</v>
      </c>
      <c r="B23" t="s">
        <v>52</v>
      </c>
      <c r="C23" t="s">
        <v>53</v>
      </c>
      <c r="D23" s="4">
        <f>VLOOKUP(C23,SQL!C23:D120,2,FALSE)</f>
        <v>886203888565</v>
      </c>
      <c r="E23" t="s">
        <v>11</v>
      </c>
      <c r="F23" s="1">
        <v>0</v>
      </c>
      <c r="G23" s="1">
        <v>10000</v>
      </c>
      <c r="H23" s="1">
        <v>9012900</v>
      </c>
    </row>
    <row r="24" spans="1:8">
      <c r="A24" t="s">
        <v>8</v>
      </c>
      <c r="B24" t="s">
        <v>54</v>
      </c>
      <c r="C24" t="s">
        <v>41</v>
      </c>
      <c r="D24" s="4">
        <v>886049928121</v>
      </c>
      <c r="E24" t="s">
        <v>11</v>
      </c>
      <c r="F24" s="1">
        <v>0</v>
      </c>
      <c r="G24" s="1">
        <v>2205220</v>
      </c>
      <c r="H24" s="1">
        <v>11218120</v>
      </c>
    </row>
    <row r="25" spans="1:8">
      <c r="A25" t="s">
        <v>8</v>
      </c>
      <c r="B25" t="s">
        <v>55</v>
      </c>
      <c r="C25" t="s">
        <v>56</v>
      </c>
      <c r="D25" s="3">
        <v>886203888388</v>
      </c>
      <c r="E25" t="s">
        <v>11</v>
      </c>
      <c r="F25" s="1">
        <v>0</v>
      </c>
      <c r="G25" s="1">
        <v>500</v>
      </c>
      <c r="H25" s="1">
        <v>11218620</v>
      </c>
    </row>
    <row r="26" spans="1:8">
      <c r="A26" t="s">
        <v>8</v>
      </c>
      <c r="B26" t="s">
        <v>57</v>
      </c>
      <c r="C26" t="s">
        <v>58</v>
      </c>
      <c r="D26" s="3">
        <v>886203689644</v>
      </c>
      <c r="E26" t="s">
        <v>11</v>
      </c>
      <c r="F26" s="1">
        <v>0</v>
      </c>
      <c r="G26" s="1">
        <v>10000</v>
      </c>
      <c r="H26" s="1">
        <v>11228620</v>
      </c>
    </row>
    <row r="27" spans="1:8">
      <c r="A27" t="s">
        <v>8</v>
      </c>
      <c r="B27" t="s">
        <v>59</v>
      </c>
      <c r="C27" t="s">
        <v>60</v>
      </c>
      <c r="D27" s="3">
        <v>886203812051</v>
      </c>
      <c r="E27" t="s">
        <v>11</v>
      </c>
      <c r="F27" s="1">
        <v>0</v>
      </c>
      <c r="G27" s="1">
        <v>12000</v>
      </c>
      <c r="H27" s="1">
        <v>11240620</v>
      </c>
    </row>
    <row r="28" spans="1:8">
      <c r="A28" t="s">
        <v>8</v>
      </c>
      <c r="B28" t="s">
        <v>61</v>
      </c>
      <c r="C28" t="s">
        <v>62</v>
      </c>
      <c r="D28" s="4">
        <f>VLOOKUP(C28,SQL!C28:D125,2,FALSE)</f>
        <v>886203046576</v>
      </c>
      <c r="E28" t="s">
        <v>11</v>
      </c>
      <c r="F28" s="1">
        <v>0</v>
      </c>
      <c r="G28" s="1">
        <v>500</v>
      </c>
      <c r="H28" s="1">
        <v>11241120</v>
      </c>
    </row>
    <row r="29" spans="1:8">
      <c r="A29" t="s">
        <v>8</v>
      </c>
      <c r="B29" t="s">
        <v>63</v>
      </c>
      <c r="C29" t="s">
        <v>64</v>
      </c>
      <c r="D29" s="3">
        <v>886203469316</v>
      </c>
      <c r="E29" t="s">
        <v>11</v>
      </c>
      <c r="F29" s="1">
        <v>0</v>
      </c>
      <c r="G29" s="1">
        <v>500</v>
      </c>
      <c r="H29" s="1">
        <v>11241620</v>
      </c>
    </row>
    <row r="30" spans="1:8">
      <c r="A30" t="s">
        <v>8</v>
      </c>
      <c r="B30" t="s">
        <v>65</v>
      </c>
      <c r="C30" t="s">
        <v>66</v>
      </c>
      <c r="D30" s="4">
        <f>VLOOKUP(C30,SQL!C30:D127,2,FALSE)</f>
        <v>886203360693</v>
      </c>
      <c r="E30" t="s">
        <v>11</v>
      </c>
      <c r="F30" s="1">
        <v>0</v>
      </c>
      <c r="G30" s="1">
        <v>500</v>
      </c>
      <c r="H30" s="1">
        <v>11242120</v>
      </c>
    </row>
    <row r="31" spans="1:8">
      <c r="A31" t="s">
        <v>8</v>
      </c>
      <c r="B31" t="s">
        <v>67</v>
      </c>
      <c r="C31" t="s">
        <v>68</v>
      </c>
      <c r="D31" s="4">
        <f>VLOOKUP(C31,SQL!C31:D128,2,FALSE)</f>
        <v>886203148656</v>
      </c>
      <c r="E31" t="s">
        <v>11</v>
      </c>
      <c r="F31" s="1">
        <v>0</v>
      </c>
      <c r="G31" s="1">
        <v>500</v>
      </c>
      <c r="H31" s="1">
        <v>11242620</v>
      </c>
    </row>
    <row r="32" spans="1:8">
      <c r="A32" t="s">
        <v>8</v>
      </c>
      <c r="B32" t="s">
        <v>69</v>
      </c>
      <c r="C32" t="s">
        <v>70</v>
      </c>
      <c r="D32" s="4">
        <f>VLOOKUP(C32,SQL!C32:D129,2,FALSE)</f>
        <v>886203288290</v>
      </c>
      <c r="E32" t="s">
        <v>11</v>
      </c>
      <c r="F32" s="1">
        <v>0</v>
      </c>
      <c r="G32" s="1">
        <v>15000</v>
      </c>
      <c r="H32" s="1">
        <v>11257620</v>
      </c>
    </row>
    <row r="33" spans="1:8">
      <c r="A33" t="s">
        <v>8</v>
      </c>
      <c r="B33" t="s">
        <v>71</v>
      </c>
      <c r="C33" t="s">
        <v>72</v>
      </c>
      <c r="D33" s="3">
        <v>886203178933</v>
      </c>
      <c r="E33" t="s">
        <v>11</v>
      </c>
      <c r="F33" s="1">
        <v>0</v>
      </c>
      <c r="G33" s="1">
        <v>12000</v>
      </c>
      <c r="H33" s="1">
        <v>11269620</v>
      </c>
    </row>
    <row r="34" spans="1:8">
      <c r="A34" t="s">
        <v>8</v>
      </c>
      <c r="B34" t="s">
        <v>73</v>
      </c>
      <c r="C34" t="s">
        <v>74</v>
      </c>
      <c r="D34" s="4">
        <f>VLOOKUP(C34,SQL!C34:D131,2,FALSE)</f>
        <v>886203422542</v>
      </c>
      <c r="E34" t="s">
        <v>11</v>
      </c>
      <c r="F34" s="1">
        <v>0</v>
      </c>
      <c r="G34" s="1">
        <v>24000</v>
      </c>
      <c r="H34" s="1">
        <v>11293620</v>
      </c>
    </row>
    <row r="35" spans="1:8">
      <c r="A35" t="s">
        <v>8</v>
      </c>
      <c r="B35" t="s">
        <v>75</v>
      </c>
      <c r="C35" t="s">
        <v>76</v>
      </c>
      <c r="D35" s="4">
        <f>VLOOKUP(C35,SQL!C35:D132,2,FALSE)</f>
        <v>886203803396</v>
      </c>
      <c r="E35" t="s">
        <v>11</v>
      </c>
      <c r="F35" s="1">
        <v>0</v>
      </c>
      <c r="G35" s="1">
        <v>20000</v>
      </c>
      <c r="H35" s="1">
        <v>11313620</v>
      </c>
    </row>
    <row r="36" spans="1:8">
      <c r="A36" t="s">
        <v>8</v>
      </c>
      <c r="B36" t="s">
        <v>77</v>
      </c>
      <c r="C36" t="s">
        <v>78</v>
      </c>
      <c r="D36" s="4">
        <f>VLOOKUP(C36,SQL!C36:D133,2,FALSE)</f>
        <v>886203817758</v>
      </c>
      <c r="E36" t="s">
        <v>11</v>
      </c>
      <c r="F36" s="1">
        <v>0</v>
      </c>
      <c r="G36" s="1">
        <v>10000</v>
      </c>
      <c r="H36" s="1">
        <v>11323620</v>
      </c>
    </row>
    <row r="37" spans="1:8">
      <c r="A37" t="s">
        <v>8</v>
      </c>
      <c r="B37" t="s">
        <v>79</v>
      </c>
      <c r="C37" t="s">
        <v>80</v>
      </c>
      <c r="D37" s="3">
        <v>886203731649</v>
      </c>
      <c r="E37" t="s">
        <v>11</v>
      </c>
      <c r="F37" s="1">
        <v>0</v>
      </c>
      <c r="G37" s="1">
        <v>9000</v>
      </c>
      <c r="H37" s="1">
        <v>11332620</v>
      </c>
    </row>
    <row r="38" spans="1:8">
      <c r="A38" t="s">
        <v>8</v>
      </c>
      <c r="B38" t="s">
        <v>81</v>
      </c>
      <c r="C38" t="s">
        <v>82</v>
      </c>
      <c r="D38" s="3">
        <v>886203631339</v>
      </c>
      <c r="E38" t="s">
        <v>11</v>
      </c>
      <c r="F38" s="1">
        <v>0</v>
      </c>
      <c r="G38" s="1">
        <v>10000</v>
      </c>
      <c r="H38" s="1">
        <v>11342620</v>
      </c>
    </row>
    <row r="39" spans="1:8">
      <c r="A39" t="s">
        <v>8</v>
      </c>
      <c r="B39" t="s">
        <v>83</v>
      </c>
      <c r="C39" t="s">
        <v>84</v>
      </c>
      <c r="D39" s="4">
        <f>VLOOKUP(C39,SQL!C39:D136,2,FALSE)</f>
        <v>886203113199</v>
      </c>
      <c r="E39" t="s">
        <v>11</v>
      </c>
      <c r="F39" s="1">
        <v>0</v>
      </c>
      <c r="G39" s="1">
        <v>12000</v>
      </c>
      <c r="H39" s="1">
        <v>11354620</v>
      </c>
    </row>
    <row r="40" spans="1:8">
      <c r="A40" t="s">
        <v>8</v>
      </c>
      <c r="B40" t="s">
        <v>85</v>
      </c>
      <c r="C40" t="s">
        <v>86</v>
      </c>
      <c r="D40" s="4">
        <f>VLOOKUP(C40,SQL!C40:D137,2,FALSE)</f>
        <v>886203969689</v>
      </c>
      <c r="E40" t="s">
        <v>11</v>
      </c>
      <c r="F40" s="1">
        <v>0</v>
      </c>
      <c r="G40" s="1">
        <v>500</v>
      </c>
      <c r="H40" s="1">
        <v>11355120</v>
      </c>
    </row>
    <row r="41" spans="1:8">
      <c r="A41" t="s">
        <v>8</v>
      </c>
      <c r="B41" t="s">
        <v>87</v>
      </c>
      <c r="C41" t="s">
        <v>88</v>
      </c>
      <c r="D41" s="3">
        <v>886203738591</v>
      </c>
      <c r="E41" t="s">
        <v>11</v>
      </c>
      <c r="F41" s="1">
        <v>0</v>
      </c>
      <c r="G41" s="1">
        <v>500</v>
      </c>
      <c r="H41" s="1">
        <v>11355620</v>
      </c>
    </row>
    <row r="42" spans="1:8">
      <c r="A42" t="s">
        <v>8</v>
      </c>
      <c r="B42" t="s">
        <v>89</v>
      </c>
      <c r="C42" t="s">
        <v>90</v>
      </c>
      <c r="D42" s="3">
        <v>886203997095</v>
      </c>
      <c r="E42" t="s">
        <v>11</v>
      </c>
      <c r="F42" s="1">
        <v>0</v>
      </c>
      <c r="G42" s="1">
        <v>30000</v>
      </c>
      <c r="H42" s="1">
        <v>11385620</v>
      </c>
    </row>
    <row r="43" spans="1:8">
      <c r="A43" t="s">
        <v>8</v>
      </c>
      <c r="B43" t="s">
        <v>91</v>
      </c>
      <c r="C43" t="s">
        <v>92</v>
      </c>
      <c r="D43" s="4">
        <f>VLOOKUP(C43,SQL!C43:D140,2,FALSE)</f>
        <v>886203468386</v>
      </c>
      <c r="E43" t="s">
        <v>11</v>
      </c>
      <c r="F43" s="1">
        <v>0</v>
      </c>
      <c r="G43" s="1">
        <v>35000</v>
      </c>
      <c r="H43" s="1">
        <v>11420620</v>
      </c>
    </row>
    <row r="44" spans="1:8">
      <c r="A44" t="s">
        <v>8</v>
      </c>
      <c r="B44" t="s">
        <v>93</v>
      </c>
      <c r="C44" t="s">
        <v>94</v>
      </c>
      <c r="D44" s="4">
        <f>VLOOKUP(C44,SQL!C44:D141,2,FALSE)</f>
        <v>886203844357</v>
      </c>
      <c r="E44" t="s">
        <v>11</v>
      </c>
      <c r="F44" s="1">
        <v>0</v>
      </c>
      <c r="G44" s="1">
        <v>3000</v>
      </c>
      <c r="H44" s="1">
        <v>11423620</v>
      </c>
    </row>
    <row r="45" spans="1:8">
      <c r="A45" t="s">
        <v>8</v>
      </c>
      <c r="B45" t="s">
        <v>95</v>
      </c>
      <c r="C45" t="s">
        <v>96</v>
      </c>
      <c r="D45" s="3">
        <v>886203965800</v>
      </c>
      <c r="E45" t="s">
        <v>11</v>
      </c>
      <c r="F45" s="1">
        <v>0</v>
      </c>
      <c r="G45" s="1">
        <v>10000</v>
      </c>
      <c r="H45" s="1">
        <v>11433620</v>
      </c>
    </row>
    <row r="46" spans="1:8">
      <c r="A46" t="s">
        <v>8</v>
      </c>
      <c r="B46" t="s">
        <v>97</v>
      </c>
      <c r="C46" t="s">
        <v>98</v>
      </c>
      <c r="D46" s="4">
        <f>VLOOKUP(C46,SQL!C46:D143,2,FALSE)</f>
        <v>886203053561</v>
      </c>
      <c r="E46" t="s">
        <v>11</v>
      </c>
      <c r="F46" s="1">
        <v>0</v>
      </c>
      <c r="G46" s="1">
        <v>30000</v>
      </c>
      <c r="H46" s="1">
        <v>11463620</v>
      </c>
    </row>
    <row r="47" spans="1:8">
      <c r="A47" t="s">
        <v>8</v>
      </c>
      <c r="B47" t="s">
        <v>99</v>
      </c>
      <c r="C47" t="s">
        <v>100</v>
      </c>
      <c r="D47" s="4">
        <f>VLOOKUP(C47,SQL!C47:D144,2,FALSE)</f>
        <v>886203911718</v>
      </c>
      <c r="E47" t="s">
        <v>11</v>
      </c>
      <c r="F47" s="1">
        <v>0</v>
      </c>
      <c r="G47" s="1">
        <v>20000</v>
      </c>
      <c r="H47" s="1">
        <v>11483620</v>
      </c>
    </row>
    <row r="48" spans="1:8">
      <c r="A48" t="s">
        <v>8</v>
      </c>
      <c r="B48" t="s">
        <v>101</v>
      </c>
      <c r="C48" t="s">
        <v>102</v>
      </c>
      <c r="D48" s="3">
        <v>886203945175</v>
      </c>
      <c r="E48" t="s">
        <v>11</v>
      </c>
      <c r="F48" s="1">
        <v>0</v>
      </c>
      <c r="G48" s="1">
        <v>5000</v>
      </c>
      <c r="H48" s="1">
        <v>11488620</v>
      </c>
    </row>
    <row r="49" spans="1:8">
      <c r="A49" t="s">
        <v>8</v>
      </c>
      <c r="B49" t="s">
        <v>103</v>
      </c>
      <c r="C49" t="s">
        <v>104</v>
      </c>
      <c r="D49" s="4">
        <f>VLOOKUP(C49,SQL!C49:D146,2,FALSE)</f>
        <v>886203130921</v>
      </c>
      <c r="E49" t="s">
        <v>11</v>
      </c>
      <c r="F49" s="1">
        <v>0</v>
      </c>
      <c r="G49" s="1">
        <v>500</v>
      </c>
      <c r="H49" s="1">
        <v>11489120</v>
      </c>
    </row>
    <row r="50" spans="1:8">
      <c r="A50" t="s">
        <v>8</v>
      </c>
      <c r="B50" t="s">
        <v>105</v>
      </c>
      <c r="C50" t="s">
        <v>106</v>
      </c>
      <c r="D50" s="3">
        <v>886203904281</v>
      </c>
      <c r="E50" t="s">
        <v>11</v>
      </c>
      <c r="F50" s="1">
        <v>0</v>
      </c>
      <c r="G50" s="1">
        <v>500</v>
      </c>
      <c r="H50" s="1">
        <v>11489620</v>
      </c>
    </row>
    <row r="51" spans="1:8">
      <c r="A51" t="s">
        <v>8</v>
      </c>
      <c r="B51" t="s">
        <v>107</v>
      </c>
      <c r="C51" t="s">
        <v>108</v>
      </c>
      <c r="D51" s="4">
        <f>VLOOKUP(C51,SQL!C51:D148,2,FALSE)</f>
        <v>886203204425</v>
      </c>
      <c r="E51" t="s">
        <v>11</v>
      </c>
      <c r="F51" s="1">
        <v>0</v>
      </c>
      <c r="G51" s="1">
        <v>5000</v>
      </c>
      <c r="H51" s="1">
        <v>11494620</v>
      </c>
    </row>
    <row r="52" spans="1:8">
      <c r="A52" t="s">
        <v>8</v>
      </c>
      <c r="B52" t="s">
        <v>109</v>
      </c>
      <c r="C52" t="s">
        <v>110</v>
      </c>
      <c r="D52" s="3">
        <v>886203312097</v>
      </c>
      <c r="E52" t="s">
        <v>11</v>
      </c>
      <c r="F52" s="1">
        <v>0</v>
      </c>
      <c r="G52" s="1">
        <v>10000</v>
      </c>
      <c r="H52" s="1">
        <v>11504620</v>
      </c>
    </row>
    <row r="53" spans="1:8">
      <c r="A53" t="s">
        <v>8</v>
      </c>
      <c r="B53" t="s">
        <v>111</v>
      </c>
      <c r="C53" t="s">
        <v>112</v>
      </c>
      <c r="D53" s="4">
        <f>VLOOKUP(C53,SQL!C53:D150,2,FALSE)</f>
        <v>886203321194</v>
      </c>
      <c r="E53" t="s">
        <v>11</v>
      </c>
      <c r="F53" s="1">
        <v>0</v>
      </c>
      <c r="G53" s="1">
        <v>500</v>
      </c>
      <c r="H53" s="1">
        <v>11505120</v>
      </c>
    </row>
    <row r="54" spans="1:8">
      <c r="A54" t="s">
        <v>8</v>
      </c>
      <c r="B54" t="s">
        <v>113</v>
      </c>
      <c r="C54" t="s">
        <v>114</v>
      </c>
      <c r="D54" s="4">
        <f>VLOOKUP(C54,SQL!C54:D151,2,FALSE)</f>
        <v>886203736196</v>
      </c>
      <c r="E54" t="s">
        <v>11</v>
      </c>
      <c r="F54" s="1">
        <v>0</v>
      </c>
      <c r="G54" s="1">
        <v>500</v>
      </c>
      <c r="H54" s="1">
        <v>11505620</v>
      </c>
    </row>
    <row r="55" spans="1:8">
      <c r="A55" t="s">
        <v>8</v>
      </c>
      <c r="B55" t="s">
        <v>115</v>
      </c>
      <c r="C55" t="s">
        <v>116</v>
      </c>
      <c r="D55" s="3">
        <v>886203625893</v>
      </c>
      <c r="E55" t="s">
        <v>11</v>
      </c>
      <c r="F55" s="1">
        <v>0</v>
      </c>
      <c r="G55" s="1">
        <v>15000</v>
      </c>
      <c r="H55" s="1">
        <v>11520620</v>
      </c>
    </row>
    <row r="56" spans="1:8">
      <c r="A56" t="s">
        <v>8</v>
      </c>
      <c r="B56" t="s">
        <v>117</v>
      </c>
      <c r="C56" t="s">
        <v>118</v>
      </c>
      <c r="D56" s="3">
        <v>886203888130</v>
      </c>
      <c r="E56" t="s">
        <v>11</v>
      </c>
      <c r="F56" s="1">
        <v>0</v>
      </c>
      <c r="G56" s="1">
        <v>9000</v>
      </c>
      <c r="H56" s="1">
        <v>11529620</v>
      </c>
    </row>
    <row r="57" spans="1:8">
      <c r="A57" t="s">
        <v>8</v>
      </c>
      <c r="B57" t="s">
        <v>119</v>
      </c>
      <c r="C57" t="s">
        <v>120</v>
      </c>
      <c r="D57" s="4">
        <f>VLOOKUP(C57,SQL!C57:D154,2,FALSE)</f>
        <v>886203605506</v>
      </c>
      <c r="E57" t="s">
        <v>11</v>
      </c>
      <c r="F57" s="1">
        <v>0</v>
      </c>
      <c r="G57" s="1">
        <v>500</v>
      </c>
      <c r="H57" s="1">
        <v>11530120</v>
      </c>
    </row>
    <row r="58" spans="1:8">
      <c r="A58" t="s">
        <v>8</v>
      </c>
      <c r="B58" t="s">
        <v>121</v>
      </c>
      <c r="C58" t="s">
        <v>122</v>
      </c>
      <c r="D58" s="3">
        <v>886203275264</v>
      </c>
      <c r="E58" t="s">
        <v>11</v>
      </c>
      <c r="F58" s="1">
        <v>0</v>
      </c>
      <c r="G58" s="1">
        <v>20000</v>
      </c>
      <c r="H58" s="1">
        <v>11550120</v>
      </c>
    </row>
    <row r="59" spans="1:8">
      <c r="A59" t="s">
        <v>8</v>
      </c>
      <c r="B59" t="s">
        <v>123</v>
      </c>
      <c r="C59" t="s">
        <v>124</v>
      </c>
      <c r="D59" s="3">
        <v>886203482653</v>
      </c>
      <c r="E59" t="s">
        <v>11</v>
      </c>
      <c r="F59" s="1">
        <v>0</v>
      </c>
      <c r="G59" s="1">
        <v>3000</v>
      </c>
      <c r="H59" s="1">
        <v>11553120</v>
      </c>
    </row>
    <row r="60" spans="1:8">
      <c r="A60" t="s">
        <v>8</v>
      </c>
      <c r="B60" t="s">
        <v>125</v>
      </c>
      <c r="C60" t="s">
        <v>126</v>
      </c>
      <c r="D60" s="4">
        <f>VLOOKUP(C60,SQL!C60:D157,2,FALSE)</f>
        <v>886203775515</v>
      </c>
      <c r="E60" t="s">
        <v>11</v>
      </c>
      <c r="F60" s="1">
        <v>0</v>
      </c>
      <c r="G60" s="1">
        <v>3000</v>
      </c>
      <c r="H60" s="1">
        <v>11556120</v>
      </c>
    </row>
    <row r="61" spans="1:8">
      <c r="A61" t="s">
        <v>8</v>
      </c>
      <c r="B61" t="s">
        <v>127</v>
      </c>
      <c r="C61" t="s">
        <v>128</v>
      </c>
      <c r="D61" s="3">
        <v>886203738536</v>
      </c>
      <c r="E61" t="s">
        <v>11</v>
      </c>
      <c r="F61" s="1">
        <v>0</v>
      </c>
      <c r="G61" s="1">
        <v>15000</v>
      </c>
      <c r="H61" s="1">
        <v>11571120</v>
      </c>
    </row>
    <row r="62" spans="1:8">
      <c r="A62" t="s">
        <v>8</v>
      </c>
      <c r="B62" t="s">
        <v>129</v>
      </c>
      <c r="C62" t="s">
        <v>130</v>
      </c>
      <c r="D62" s="4">
        <f>VLOOKUP(C62,SQL!C62:D159,2,FALSE)</f>
        <v>886203036575</v>
      </c>
      <c r="E62" t="s">
        <v>11</v>
      </c>
      <c r="F62" s="1">
        <v>0</v>
      </c>
      <c r="G62" s="1">
        <v>15000</v>
      </c>
      <c r="H62" s="1">
        <v>11586120</v>
      </c>
    </row>
    <row r="63" spans="1:8">
      <c r="A63" t="s">
        <v>8</v>
      </c>
      <c r="B63" t="s">
        <v>131</v>
      </c>
      <c r="C63" t="s">
        <v>132</v>
      </c>
      <c r="D63" s="3">
        <v>886203268078</v>
      </c>
      <c r="E63" t="s">
        <v>11</v>
      </c>
      <c r="F63" s="1">
        <v>0</v>
      </c>
      <c r="G63" s="1">
        <v>40000</v>
      </c>
      <c r="H63" s="1">
        <v>11626120</v>
      </c>
    </row>
    <row r="64" spans="1:8">
      <c r="A64" t="s">
        <v>8</v>
      </c>
      <c r="B64" t="s">
        <v>133</v>
      </c>
      <c r="C64" t="s">
        <v>134</v>
      </c>
      <c r="D64" s="4">
        <f>VLOOKUP(C64,SQL!C64:D161,2,FALSE)</f>
        <v>886203436255</v>
      </c>
      <c r="E64" t="s">
        <v>11</v>
      </c>
      <c r="F64" s="1">
        <v>0</v>
      </c>
      <c r="G64" s="1">
        <v>500</v>
      </c>
      <c r="H64" s="1">
        <v>11626620</v>
      </c>
    </row>
    <row r="65" spans="1:8">
      <c r="A65" t="s">
        <v>8</v>
      </c>
      <c r="B65" t="s">
        <v>135</v>
      </c>
      <c r="C65" t="s">
        <v>136</v>
      </c>
      <c r="D65" s="4">
        <f>VLOOKUP(C65,SQL!C65:D162,2,FALSE)</f>
        <v>886203634480</v>
      </c>
      <c r="E65" t="s">
        <v>11</v>
      </c>
      <c r="F65" s="1">
        <v>0</v>
      </c>
      <c r="G65" s="1">
        <v>500</v>
      </c>
      <c r="H65" s="1">
        <v>11627120</v>
      </c>
    </row>
    <row r="66" spans="1:8">
      <c r="A66" t="s">
        <v>8</v>
      </c>
      <c r="B66" t="s">
        <v>137</v>
      </c>
      <c r="C66" t="s">
        <v>138</v>
      </c>
      <c r="D66" s="3">
        <v>886203799276</v>
      </c>
      <c r="E66" t="s">
        <v>11</v>
      </c>
      <c r="F66" s="1">
        <v>0</v>
      </c>
      <c r="G66" s="1">
        <v>500</v>
      </c>
      <c r="H66" s="1">
        <v>11627620</v>
      </c>
    </row>
    <row r="67" spans="1:8">
      <c r="A67" t="s">
        <v>8</v>
      </c>
      <c r="B67" t="s">
        <v>139</v>
      </c>
      <c r="C67" t="s">
        <v>140</v>
      </c>
      <c r="D67" s="3">
        <v>886203215338</v>
      </c>
      <c r="E67" t="s">
        <v>11</v>
      </c>
      <c r="F67" s="1">
        <v>0</v>
      </c>
      <c r="G67" s="1">
        <v>30000</v>
      </c>
      <c r="H67" s="1">
        <v>11657620</v>
      </c>
    </row>
    <row r="68" spans="1:8">
      <c r="A68" t="s">
        <v>8</v>
      </c>
      <c r="B68" t="s">
        <v>141</v>
      </c>
      <c r="C68" t="s">
        <v>142</v>
      </c>
      <c r="D68" s="4">
        <f>VLOOKUP(C68,SQL!C68:D165,2,FALSE)</f>
        <v>886203023859</v>
      </c>
      <c r="E68" t="s">
        <v>11</v>
      </c>
      <c r="F68" s="1">
        <v>0</v>
      </c>
      <c r="G68" s="1">
        <v>22000</v>
      </c>
      <c r="H68" s="1">
        <v>11679620</v>
      </c>
    </row>
    <row r="69" spans="1:8">
      <c r="A69" t="s">
        <v>8</v>
      </c>
      <c r="B69" t="s">
        <v>143</v>
      </c>
      <c r="C69" t="s">
        <v>144</v>
      </c>
      <c r="D69" s="3">
        <v>886203539955</v>
      </c>
      <c r="E69" t="s">
        <v>11</v>
      </c>
      <c r="F69" s="1">
        <v>0</v>
      </c>
      <c r="G69" s="1">
        <v>500</v>
      </c>
      <c r="H69" s="1">
        <v>11680120</v>
      </c>
    </row>
    <row r="70" spans="1:8">
      <c r="A70" t="s">
        <v>8</v>
      </c>
      <c r="B70" t="s">
        <v>145</v>
      </c>
      <c r="C70" t="s">
        <v>146</v>
      </c>
      <c r="D70" s="4">
        <f>VLOOKUP(C70,SQL!C70:D167,2,FALSE)</f>
        <v>886203349235</v>
      </c>
      <c r="E70" t="s">
        <v>11</v>
      </c>
      <c r="F70" s="1">
        <v>0</v>
      </c>
      <c r="G70" s="1">
        <v>500</v>
      </c>
      <c r="H70" s="1">
        <v>11680620</v>
      </c>
    </row>
    <row r="71" spans="1:8">
      <c r="A71" t="s">
        <v>8</v>
      </c>
      <c r="B71" t="s">
        <v>147</v>
      </c>
      <c r="C71" t="s">
        <v>148</v>
      </c>
      <c r="D71" s="3">
        <v>886203549395</v>
      </c>
      <c r="E71" t="s">
        <v>11</v>
      </c>
      <c r="F71" s="1">
        <v>0</v>
      </c>
      <c r="G71" s="1">
        <v>12000</v>
      </c>
      <c r="H71" s="1">
        <v>11692620</v>
      </c>
    </row>
    <row r="72" spans="1:8">
      <c r="A72" t="s">
        <v>8</v>
      </c>
      <c r="B72" t="s">
        <v>149</v>
      </c>
      <c r="C72" t="s">
        <v>150</v>
      </c>
      <c r="D72" s="4">
        <f>VLOOKUP(C72,SQL!C72:D169,2,FALSE)</f>
        <v>886203923701</v>
      </c>
      <c r="E72" t="s">
        <v>11</v>
      </c>
      <c r="F72" s="1">
        <v>0</v>
      </c>
      <c r="G72" s="1">
        <v>20000</v>
      </c>
      <c r="H72" s="1">
        <v>11712620</v>
      </c>
    </row>
    <row r="73" spans="1:8">
      <c r="A73" t="s">
        <v>8</v>
      </c>
      <c r="B73" t="s">
        <v>151</v>
      </c>
      <c r="C73" t="s">
        <v>152</v>
      </c>
      <c r="D73" s="3">
        <v>886203232347</v>
      </c>
      <c r="E73" t="s">
        <v>11</v>
      </c>
      <c r="F73" s="1">
        <v>0</v>
      </c>
      <c r="G73" s="1">
        <v>1500</v>
      </c>
      <c r="H73" s="1">
        <v>11714120</v>
      </c>
    </row>
    <row r="74" spans="1:8">
      <c r="A74" t="s">
        <v>8</v>
      </c>
      <c r="B74" t="s">
        <v>153</v>
      </c>
      <c r="C74" t="s">
        <v>154</v>
      </c>
      <c r="D74" s="3">
        <v>886203326550</v>
      </c>
      <c r="E74" t="s">
        <v>11</v>
      </c>
      <c r="F74" s="1">
        <v>0</v>
      </c>
      <c r="G74" s="1">
        <v>500</v>
      </c>
      <c r="H74" s="1">
        <v>11714620</v>
      </c>
    </row>
    <row r="75" spans="1:8">
      <c r="A75" t="s">
        <v>8</v>
      </c>
      <c r="B75" t="s">
        <v>155</v>
      </c>
      <c r="C75" t="s">
        <v>156</v>
      </c>
      <c r="D75" s="3">
        <v>886203055786</v>
      </c>
      <c r="E75" t="s">
        <v>11</v>
      </c>
      <c r="F75" s="1">
        <v>0</v>
      </c>
      <c r="G75" s="1">
        <v>500</v>
      </c>
      <c r="H75" s="1">
        <v>11715120</v>
      </c>
    </row>
    <row r="76" spans="1:8">
      <c r="A76" t="s">
        <v>8</v>
      </c>
      <c r="B76" t="s">
        <v>157</v>
      </c>
      <c r="C76" t="s">
        <v>158</v>
      </c>
      <c r="D76" s="3">
        <v>886203484381</v>
      </c>
      <c r="E76" t="s">
        <v>11</v>
      </c>
      <c r="F76" s="1">
        <v>0</v>
      </c>
      <c r="G76" s="1">
        <v>500</v>
      </c>
      <c r="H76" s="1">
        <v>11715620</v>
      </c>
    </row>
    <row r="77" spans="1:8">
      <c r="A77" t="s">
        <v>8</v>
      </c>
      <c r="B77" t="s">
        <v>159</v>
      </c>
      <c r="C77" t="s">
        <v>160</v>
      </c>
      <c r="D77" s="3">
        <v>886203802456</v>
      </c>
      <c r="E77" t="s">
        <v>11</v>
      </c>
      <c r="F77" s="1">
        <v>0</v>
      </c>
      <c r="G77" s="1">
        <v>18000</v>
      </c>
      <c r="H77" s="1">
        <v>11733620</v>
      </c>
    </row>
    <row r="78" spans="1:8">
      <c r="A78" t="s">
        <v>8</v>
      </c>
      <c r="B78" t="s">
        <v>161</v>
      </c>
      <c r="C78" t="s">
        <v>162</v>
      </c>
      <c r="D78" s="3">
        <v>886203061326</v>
      </c>
      <c r="E78" t="s">
        <v>11</v>
      </c>
      <c r="F78" s="1">
        <v>0</v>
      </c>
      <c r="G78" s="1">
        <v>20000</v>
      </c>
      <c r="H78" s="1">
        <v>11753620</v>
      </c>
    </row>
    <row r="79" spans="1:8">
      <c r="A79" t="s">
        <v>8</v>
      </c>
      <c r="B79" t="s">
        <v>163</v>
      </c>
      <c r="C79" t="s">
        <v>164</v>
      </c>
      <c r="D79" s="3">
        <v>886203609120</v>
      </c>
      <c r="E79" t="s">
        <v>11</v>
      </c>
      <c r="F79" s="1">
        <v>0</v>
      </c>
      <c r="G79" s="1">
        <v>4000</v>
      </c>
      <c r="H79" s="1">
        <v>11757620</v>
      </c>
    </row>
    <row r="80" spans="1:8">
      <c r="A80" t="s">
        <v>8</v>
      </c>
      <c r="B80" t="s">
        <v>165</v>
      </c>
      <c r="C80" t="s">
        <v>166</v>
      </c>
      <c r="D80" s="3">
        <v>886203560311</v>
      </c>
      <c r="E80" t="s">
        <v>11</v>
      </c>
      <c r="F80" s="1">
        <v>0</v>
      </c>
      <c r="G80" s="1">
        <v>500</v>
      </c>
      <c r="H80" s="1">
        <v>11758120</v>
      </c>
    </row>
    <row r="81" spans="1:8">
      <c r="A81" t="s">
        <v>8</v>
      </c>
      <c r="B81" t="s">
        <v>167</v>
      </c>
      <c r="C81" t="s">
        <v>168</v>
      </c>
      <c r="D81" s="3">
        <v>886203254515</v>
      </c>
      <c r="E81" t="s">
        <v>11</v>
      </c>
      <c r="F81" s="1">
        <v>0</v>
      </c>
      <c r="G81" s="1">
        <v>25000</v>
      </c>
      <c r="H81" s="1">
        <v>11783120</v>
      </c>
    </row>
    <row r="82" spans="1:8">
      <c r="A82" t="s">
        <v>8</v>
      </c>
      <c r="B82" t="s">
        <v>169</v>
      </c>
      <c r="C82" t="s">
        <v>170</v>
      </c>
      <c r="D82" s="3">
        <v>886203607169</v>
      </c>
      <c r="E82" t="s">
        <v>11</v>
      </c>
      <c r="F82" s="1">
        <v>0</v>
      </c>
      <c r="G82" s="1">
        <v>25000</v>
      </c>
      <c r="H82" s="1">
        <v>11808120</v>
      </c>
    </row>
    <row r="83" spans="1:8">
      <c r="A83" t="s">
        <v>8</v>
      </c>
      <c r="B83" t="s">
        <v>171</v>
      </c>
      <c r="C83" t="s">
        <v>172</v>
      </c>
      <c r="D83" s="4">
        <f>VLOOKUP(C83,SQL!C83:D180,2,FALSE)</f>
        <v>886203979707</v>
      </c>
      <c r="E83" t="s">
        <v>11</v>
      </c>
      <c r="F83" s="1">
        <v>0</v>
      </c>
      <c r="G83" s="1">
        <v>500</v>
      </c>
      <c r="H83" s="1">
        <v>11808620</v>
      </c>
    </row>
    <row r="84" spans="1:8">
      <c r="A84" t="s">
        <v>8</v>
      </c>
      <c r="B84" t="s">
        <v>173</v>
      </c>
      <c r="C84" t="s">
        <v>174</v>
      </c>
      <c r="D84" s="4">
        <f>VLOOKUP(C84,SQL!C84:D181,2,FALSE)</f>
        <v>886203757256</v>
      </c>
      <c r="E84" t="s">
        <v>11</v>
      </c>
      <c r="F84" s="1">
        <v>0</v>
      </c>
      <c r="G84" s="1">
        <v>5000</v>
      </c>
      <c r="H84" s="1">
        <v>11813620</v>
      </c>
    </row>
    <row r="85" spans="1:8">
      <c r="A85" t="s">
        <v>8</v>
      </c>
      <c r="B85" t="s">
        <v>175</v>
      </c>
      <c r="C85" t="s">
        <v>176</v>
      </c>
      <c r="D85" s="3">
        <v>886203022357</v>
      </c>
      <c r="E85" t="s">
        <v>11</v>
      </c>
      <c r="F85" s="1">
        <v>0</v>
      </c>
      <c r="G85" s="1">
        <v>15000</v>
      </c>
      <c r="H85" s="1">
        <v>11828620</v>
      </c>
    </row>
    <row r="86" spans="1:8">
      <c r="A86" t="s">
        <v>8</v>
      </c>
      <c r="B86" t="s">
        <v>177</v>
      </c>
      <c r="C86" t="s">
        <v>178</v>
      </c>
      <c r="D86" s="3">
        <v>886203707817</v>
      </c>
      <c r="E86" t="s">
        <v>11</v>
      </c>
      <c r="F86" s="1">
        <v>0</v>
      </c>
      <c r="G86" s="1">
        <v>500</v>
      </c>
      <c r="H86" s="1">
        <v>11829120</v>
      </c>
    </row>
    <row r="87" spans="1:8">
      <c r="A87" t="s">
        <v>8</v>
      </c>
      <c r="B87" t="s">
        <v>179</v>
      </c>
      <c r="C87" t="s">
        <v>180</v>
      </c>
      <c r="D87" s="3">
        <v>886203446184</v>
      </c>
      <c r="E87" t="s">
        <v>11</v>
      </c>
      <c r="F87" s="1">
        <v>0</v>
      </c>
      <c r="G87" s="1">
        <v>24000</v>
      </c>
      <c r="H87" s="1">
        <v>11853120</v>
      </c>
    </row>
    <row r="88" spans="1:8">
      <c r="A88" t="s">
        <v>8</v>
      </c>
      <c r="B88" t="s">
        <v>181</v>
      </c>
      <c r="C88" t="s">
        <v>182</v>
      </c>
      <c r="D88" s="3">
        <v>886203596701</v>
      </c>
      <c r="E88" t="s">
        <v>11</v>
      </c>
      <c r="F88" s="1">
        <v>0</v>
      </c>
      <c r="G88" s="1">
        <v>30000</v>
      </c>
      <c r="H88" s="1">
        <v>11883120</v>
      </c>
    </row>
    <row r="89" spans="1:8">
      <c r="A89" t="s">
        <v>8</v>
      </c>
      <c r="B89" t="s">
        <v>183</v>
      </c>
      <c r="C89" t="s">
        <v>184</v>
      </c>
      <c r="D89" s="3">
        <v>886203726571</v>
      </c>
      <c r="E89" t="s">
        <v>11</v>
      </c>
      <c r="F89" s="1">
        <v>0</v>
      </c>
      <c r="G89" s="1">
        <v>10000</v>
      </c>
      <c r="H89" s="1">
        <v>11893120</v>
      </c>
    </row>
    <row r="90" spans="1:8">
      <c r="A90" t="s">
        <v>8</v>
      </c>
      <c r="B90" t="s">
        <v>185</v>
      </c>
      <c r="C90" t="s">
        <v>186</v>
      </c>
      <c r="D90" s="4">
        <f>VLOOKUP(C90,SQL!C90:D187,2,FALSE)</f>
        <v>886203334986</v>
      </c>
      <c r="E90" t="s">
        <v>11</v>
      </c>
      <c r="F90" s="1">
        <v>0</v>
      </c>
      <c r="G90" s="1">
        <v>15000</v>
      </c>
      <c r="H90" s="1">
        <v>11908120</v>
      </c>
    </row>
    <row r="91" spans="1:8">
      <c r="A91" t="s">
        <v>8</v>
      </c>
      <c r="B91" t="s">
        <v>187</v>
      </c>
      <c r="C91" t="s">
        <v>188</v>
      </c>
      <c r="D91" s="3">
        <v>886203864304</v>
      </c>
      <c r="E91" t="s">
        <v>11</v>
      </c>
      <c r="F91" s="1">
        <v>0</v>
      </c>
      <c r="G91" s="1">
        <v>30000</v>
      </c>
      <c r="H91" s="1">
        <v>11938120</v>
      </c>
    </row>
    <row r="92" spans="1:8">
      <c r="A92" t="s">
        <v>8</v>
      </c>
      <c r="B92" t="s">
        <v>189</v>
      </c>
      <c r="C92" t="s">
        <v>190</v>
      </c>
      <c r="D92" s="3">
        <v>886203029773</v>
      </c>
      <c r="E92" t="s">
        <v>11</v>
      </c>
      <c r="F92" s="1">
        <v>0</v>
      </c>
      <c r="G92" s="1">
        <v>500</v>
      </c>
      <c r="H92" s="1">
        <v>11938620</v>
      </c>
    </row>
    <row r="93" spans="1:8">
      <c r="A93" t="s">
        <v>8</v>
      </c>
      <c r="B93" t="s">
        <v>191</v>
      </c>
      <c r="C93" t="s">
        <v>192</v>
      </c>
      <c r="D93" s="3">
        <v>886203992980</v>
      </c>
      <c r="E93" t="s">
        <v>11</v>
      </c>
      <c r="F93" s="1">
        <v>0</v>
      </c>
      <c r="G93" s="1">
        <v>35000</v>
      </c>
      <c r="H93" s="1">
        <v>11973620</v>
      </c>
    </row>
    <row r="94" spans="1:8">
      <c r="A94" t="s">
        <v>8</v>
      </c>
      <c r="B94" t="s">
        <v>193</v>
      </c>
      <c r="C94" t="s">
        <v>194</v>
      </c>
      <c r="D94" s="3">
        <v>886203278414</v>
      </c>
      <c r="E94" t="s">
        <v>11</v>
      </c>
      <c r="F94" s="1">
        <v>0</v>
      </c>
      <c r="G94" s="1">
        <v>10000</v>
      </c>
      <c r="H94" s="1">
        <v>11983620</v>
      </c>
    </row>
    <row r="95" spans="1:8">
      <c r="A95" t="s">
        <v>8</v>
      </c>
      <c r="B95" t="s">
        <v>195</v>
      </c>
      <c r="C95" t="s">
        <v>196</v>
      </c>
      <c r="D95" s="3">
        <v>886203142975</v>
      </c>
      <c r="E95" t="s">
        <v>11</v>
      </c>
      <c r="F95" s="1">
        <v>0</v>
      </c>
      <c r="G95" s="1">
        <v>500</v>
      </c>
      <c r="H95" s="1">
        <v>11984120</v>
      </c>
    </row>
    <row r="96" spans="1:8">
      <c r="A96" t="s">
        <v>8</v>
      </c>
      <c r="B96" t="s">
        <v>197</v>
      </c>
      <c r="C96" t="s">
        <v>198</v>
      </c>
      <c r="D96" s="3">
        <v>886203589989</v>
      </c>
      <c r="E96" t="s">
        <v>11</v>
      </c>
      <c r="F96" s="1">
        <v>0</v>
      </c>
      <c r="G96" s="1">
        <v>500</v>
      </c>
      <c r="H96" s="1">
        <v>11984620</v>
      </c>
    </row>
    <row r="97" spans="1:8">
      <c r="A97" t="s">
        <v>8</v>
      </c>
      <c r="B97" t="s">
        <v>199</v>
      </c>
      <c r="C97" t="s">
        <v>200</v>
      </c>
      <c r="D97" s="3">
        <v>886203341841</v>
      </c>
      <c r="E97" t="s">
        <v>11</v>
      </c>
      <c r="F97" s="1">
        <v>0</v>
      </c>
      <c r="G97" s="1">
        <v>3000</v>
      </c>
      <c r="H97" s="1">
        <v>11987620</v>
      </c>
    </row>
    <row r="98" spans="1:8">
      <c r="A98" t="s">
        <v>8</v>
      </c>
      <c r="B98" t="s">
        <v>201</v>
      </c>
      <c r="C98" t="s">
        <v>202</v>
      </c>
      <c r="D98" s="3">
        <v>886203788679</v>
      </c>
      <c r="E98" t="s">
        <v>11</v>
      </c>
      <c r="F98" s="1">
        <v>0</v>
      </c>
      <c r="G98" s="1">
        <v>5000</v>
      </c>
      <c r="H98" s="1">
        <v>11992620</v>
      </c>
    </row>
    <row r="99" spans="1:8">
      <c r="A99" t="s">
        <v>8</v>
      </c>
      <c r="B99" t="s">
        <v>203</v>
      </c>
      <c r="C99" t="s">
        <v>204</v>
      </c>
      <c r="D99" s="3">
        <v>886203876634</v>
      </c>
      <c r="E99" t="s">
        <v>11</v>
      </c>
      <c r="F99" s="1">
        <v>0</v>
      </c>
      <c r="G99" s="1">
        <v>15000</v>
      </c>
      <c r="H99" s="1">
        <v>12007620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99"/>
  <sheetViews>
    <sheetView topLeftCell="A7" workbookViewId="0">
      <selection activeCell="D7" sqref="D7"/>
    </sheetView>
  </sheetViews>
  <sheetFormatPr defaultRowHeight="14.45"/>
  <cols>
    <col min="3" max="3" width="16.42578125" customWidth="1"/>
    <col min="4" max="4" width="20.140625" customWidth="1"/>
  </cols>
  <sheetData>
    <row r="2" spans="3:4">
      <c r="C2" s="2">
        <v>20144640086</v>
      </c>
      <c r="D2" s="3">
        <v>886203609120</v>
      </c>
    </row>
    <row r="3" spans="3:4">
      <c r="C3" s="2">
        <v>20144640172</v>
      </c>
      <c r="D3" s="3">
        <v>886203178933</v>
      </c>
    </row>
    <row r="4" spans="3:4">
      <c r="C4" s="2">
        <v>20144640975</v>
      </c>
      <c r="D4" s="3">
        <v>886203802456</v>
      </c>
    </row>
    <row r="5" spans="3:4">
      <c r="C5" s="2">
        <v>20144640999</v>
      </c>
      <c r="D5" s="3">
        <v>886203997095</v>
      </c>
    </row>
    <row r="6" spans="3:4">
      <c r="C6" s="2">
        <v>20144641068</v>
      </c>
      <c r="D6" s="3">
        <v>886203215338</v>
      </c>
    </row>
    <row r="7" spans="3:4">
      <c r="C7" s="2">
        <v>20144643359</v>
      </c>
      <c r="D7" s="3">
        <v>886203876634</v>
      </c>
    </row>
    <row r="8" spans="3:4">
      <c r="C8" s="2">
        <v>20144644045</v>
      </c>
      <c r="D8" s="3">
        <v>886203965800</v>
      </c>
    </row>
    <row r="9" spans="3:4">
      <c r="C9" s="2">
        <v>20144648712</v>
      </c>
      <c r="D9" s="3">
        <v>886203689644</v>
      </c>
    </row>
    <row r="10" spans="3:4">
      <c r="C10" s="2">
        <v>20144649615</v>
      </c>
      <c r="D10" s="3">
        <v>886203278414</v>
      </c>
    </row>
    <row r="11" spans="3:4">
      <c r="C11" s="2">
        <v>20144649841</v>
      </c>
      <c r="D11" s="3">
        <v>886203343724</v>
      </c>
    </row>
    <row r="12" spans="3:4">
      <c r="C12" s="2">
        <v>20144650027</v>
      </c>
      <c r="D12" s="3">
        <v>886203812051</v>
      </c>
    </row>
    <row r="13" spans="3:4">
      <c r="C13" s="2" t="s">
        <v>102</v>
      </c>
      <c r="D13" s="3">
        <v>886203945175</v>
      </c>
    </row>
    <row r="14" spans="3:4">
      <c r="C14" s="2" t="s">
        <v>31</v>
      </c>
      <c r="D14" s="3">
        <v>886203295094</v>
      </c>
    </row>
    <row r="15" spans="3:4">
      <c r="C15" s="2" t="s">
        <v>64</v>
      </c>
      <c r="D15" s="3">
        <v>886203469316</v>
      </c>
    </row>
    <row r="16" spans="3:4">
      <c r="C16" s="2" t="s">
        <v>144</v>
      </c>
      <c r="D16" s="3">
        <v>886203539955</v>
      </c>
    </row>
    <row r="17" spans="3:4">
      <c r="C17" s="2" t="s">
        <v>110</v>
      </c>
      <c r="D17" s="3">
        <v>886203312097</v>
      </c>
    </row>
    <row r="18" spans="3:4">
      <c r="C18" s="2" t="s">
        <v>182</v>
      </c>
      <c r="D18" s="3">
        <v>886203596701</v>
      </c>
    </row>
    <row r="19" spans="3:4">
      <c r="C19" s="2" t="s">
        <v>124</v>
      </c>
      <c r="D19" s="3">
        <v>886203482653</v>
      </c>
    </row>
    <row r="20" spans="3:4">
      <c r="C20" s="2" t="s">
        <v>158</v>
      </c>
      <c r="D20" s="3">
        <v>886203484381</v>
      </c>
    </row>
    <row r="21" spans="3:4">
      <c r="C21" s="2" t="s">
        <v>13</v>
      </c>
      <c r="D21" s="3">
        <v>886203681601</v>
      </c>
    </row>
    <row r="22" spans="3:4">
      <c r="C22" s="2" t="s">
        <v>116</v>
      </c>
      <c r="D22" s="3">
        <v>886203625893</v>
      </c>
    </row>
    <row r="23" spans="3:4">
      <c r="C23" s="2" t="s">
        <v>170</v>
      </c>
      <c r="D23" s="3">
        <v>886203607169</v>
      </c>
    </row>
    <row r="24" spans="3:4">
      <c r="C24" s="2" t="s">
        <v>56</v>
      </c>
      <c r="D24" s="3">
        <v>886203888388</v>
      </c>
    </row>
    <row r="25" spans="3:4">
      <c r="C25" s="2" t="s">
        <v>118</v>
      </c>
      <c r="D25" s="3">
        <v>886203888130</v>
      </c>
    </row>
    <row r="26" spans="3:4">
      <c r="C26" s="2" t="s">
        <v>198</v>
      </c>
      <c r="D26" s="3">
        <v>886203589989</v>
      </c>
    </row>
    <row r="27" spans="3:4">
      <c r="C27" s="2" t="s">
        <v>17</v>
      </c>
      <c r="D27" s="3">
        <v>886203958617</v>
      </c>
    </row>
    <row r="28" spans="3:4">
      <c r="C28" s="2" t="s">
        <v>80</v>
      </c>
      <c r="D28" s="3">
        <v>886203731649</v>
      </c>
    </row>
    <row r="29" spans="3:4">
      <c r="C29" s="2" t="s">
        <v>202</v>
      </c>
      <c r="D29" s="3">
        <v>886203788679</v>
      </c>
    </row>
    <row r="30" spans="3:4">
      <c r="C30" s="2" t="s">
        <v>47</v>
      </c>
      <c r="D30" s="3">
        <v>886203703862</v>
      </c>
    </row>
    <row r="31" spans="3:4">
      <c r="C31" s="2" t="s">
        <v>106</v>
      </c>
      <c r="D31" s="3">
        <v>886203904281</v>
      </c>
    </row>
    <row r="32" spans="3:4">
      <c r="C32" s="2" t="s">
        <v>176</v>
      </c>
      <c r="D32" s="3">
        <v>886203022357</v>
      </c>
    </row>
    <row r="33" spans="3:4">
      <c r="C33" s="2" t="s">
        <v>138</v>
      </c>
      <c r="D33" s="3">
        <v>886203799276</v>
      </c>
    </row>
    <row r="34" spans="3:4">
      <c r="C34" s="2" t="s">
        <v>39</v>
      </c>
      <c r="D34" s="3">
        <v>886203984153</v>
      </c>
    </row>
    <row r="35" spans="3:4">
      <c r="C35" s="2" t="s">
        <v>156</v>
      </c>
      <c r="D35" s="3">
        <v>886203055786</v>
      </c>
    </row>
    <row r="36" spans="3:4">
      <c r="C36" s="2" t="s">
        <v>82</v>
      </c>
      <c r="D36" s="3">
        <v>886203631339</v>
      </c>
    </row>
    <row r="37" spans="3:4">
      <c r="C37" s="2" t="s">
        <v>178</v>
      </c>
      <c r="D37" s="3">
        <v>886203707817</v>
      </c>
    </row>
    <row r="38" spans="3:4">
      <c r="C38" s="2" t="s">
        <v>122</v>
      </c>
      <c r="D38" s="3">
        <v>886203275264</v>
      </c>
    </row>
    <row r="39" spans="3:4">
      <c r="C39" s="2" t="s">
        <v>132</v>
      </c>
      <c r="D39" s="3">
        <v>886203268078</v>
      </c>
    </row>
    <row r="40" spans="3:4">
      <c r="C40" s="2" t="s">
        <v>88</v>
      </c>
      <c r="D40" s="3">
        <v>886203738591</v>
      </c>
    </row>
    <row r="41" spans="3:4">
      <c r="C41" s="2" t="s">
        <v>53</v>
      </c>
      <c r="D41" s="3">
        <v>886203888565</v>
      </c>
    </row>
    <row r="42" spans="3:4">
      <c r="C42" s="2" t="s">
        <v>188</v>
      </c>
      <c r="D42" s="3">
        <v>886203864304</v>
      </c>
    </row>
    <row r="43" spans="3:4">
      <c r="C43" s="2" t="s">
        <v>168</v>
      </c>
      <c r="D43" s="3">
        <v>886203254515</v>
      </c>
    </row>
    <row r="44" spans="3:4">
      <c r="C44" s="2" t="s">
        <v>84</v>
      </c>
      <c r="D44" s="3">
        <v>886203113199</v>
      </c>
    </row>
    <row r="45" spans="3:4">
      <c r="C45" s="2" t="s">
        <v>66</v>
      </c>
      <c r="D45" s="3">
        <v>886203360693</v>
      </c>
    </row>
    <row r="46" spans="3:4">
      <c r="C46" s="2" t="s">
        <v>92</v>
      </c>
      <c r="D46" s="3">
        <v>886203468386</v>
      </c>
    </row>
    <row r="47" spans="3:4">
      <c r="C47" s="2" t="s">
        <v>43</v>
      </c>
      <c r="D47" s="3">
        <v>886203704871</v>
      </c>
    </row>
    <row r="48" spans="3:4">
      <c r="C48" s="2" t="s">
        <v>148</v>
      </c>
      <c r="D48" s="3">
        <v>886203549395</v>
      </c>
    </row>
    <row r="49" spans="3:4">
      <c r="C49" s="2" t="s">
        <v>100</v>
      </c>
      <c r="D49" s="3">
        <v>886203911718</v>
      </c>
    </row>
    <row r="50" spans="3:4">
      <c r="C50" s="2" t="s">
        <v>15</v>
      </c>
      <c r="D50" s="3">
        <v>886203649777</v>
      </c>
    </row>
    <row r="51" spans="3:4">
      <c r="C51" s="2" t="s">
        <v>128</v>
      </c>
      <c r="D51" s="3">
        <v>886203738536</v>
      </c>
    </row>
    <row r="52" spans="3:4">
      <c r="C52" s="2" t="s">
        <v>162</v>
      </c>
      <c r="D52" s="3">
        <v>886203061326</v>
      </c>
    </row>
    <row r="53" spans="3:4">
      <c r="C53" s="2" t="s">
        <v>76</v>
      </c>
      <c r="D53" s="3">
        <v>886203803396</v>
      </c>
    </row>
    <row r="54" spans="3:4">
      <c r="C54" s="2" t="s">
        <v>78</v>
      </c>
      <c r="D54" s="3">
        <v>886203817758</v>
      </c>
    </row>
    <row r="55" spans="3:4">
      <c r="C55" s="2" t="s">
        <v>196</v>
      </c>
      <c r="D55" s="3">
        <v>886203142975</v>
      </c>
    </row>
    <row r="56" spans="3:4">
      <c r="C56" s="2" t="s">
        <v>112</v>
      </c>
      <c r="D56" s="3">
        <v>886203321194</v>
      </c>
    </row>
    <row r="57" spans="3:4">
      <c r="C57" s="2" t="s">
        <v>152</v>
      </c>
      <c r="D57" s="3">
        <v>886203232347</v>
      </c>
    </row>
    <row r="58" spans="3:4">
      <c r="C58" s="2" t="s">
        <v>86</v>
      </c>
      <c r="D58" s="3">
        <v>886203969689</v>
      </c>
    </row>
    <row r="59" spans="3:4">
      <c r="C59" s="2" t="s">
        <v>51</v>
      </c>
      <c r="D59" s="3">
        <v>886203386307</v>
      </c>
    </row>
    <row r="60" spans="3:4">
      <c r="C60" s="2" t="s">
        <v>94</v>
      </c>
      <c r="D60" s="3">
        <v>886203844357</v>
      </c>
    </row>
    <row r="61" spans="3:4">
      <c r="C61" s="2" t="s">
        <v>120</v>
      </c>
      <c r="D61" s="3">
        <v>886203605506</v>
      </c>
    </row>
    <row r="62" spans="3:4">
      <c r="C62" s="2" t="s">
        <v>114</v>
      </c>
      <c r="D62" s="3">
        <v>886203736196</v>
      </c>
    </row>
    <row r="63" spans="3:4">
      <c r="C63" s="2" t="s">
        <v>154</v>
      </c>
      <c r="D63" s="3">
        <v>886203326550</v>
      </c>
    </row>
    <row r="64" spans="3:4">
      <c r="C64" s="2" t="s">
        <v>33</v>
      </c>
      <c r="D64" s="3">
        <v>886203954518</v>
      </c>
    </row>
    <row r="65" spans="3:4">
      <c r="C65" s="2" t="s">
        <v>21</v>
      </c>
      <c r="D65" s="3">
        <v>886203291562</v>
      </c>
    </row>
    <row r="66" spans="3:4">
      <c r="C66" s="2" t="s">
        <v>166</v>
      </c>
      <c r="D66" s="3">
        <v>886203560311</v>
      </c>
    </row>
    <row r="67" spans="3:4">
      <c r="C67" s="2" t="s">
        <v>104</v>
      </c>
      <c r="D67" s="3">
        <v>886203130921</v>
      </c>
    </row>
    <row r="68" spans="3:4">
      <c r="C68" s="2" t="s">
        <v>35</v>
      </c>
      <c r="D68" s="3">
        <v>886203273252</v>
      </c>
    </row>
    <row r="69" spans="3:4">
      <c r="C69" s="2" t="s">
        <v>98</v>
      </c>
      <c r="D69" s="3">
        <v>886203053561</v>
      </c>
    </row>
    <row r="70" spans="3:4">
      <c r="C70" s="2" t="s">
        <v>146</v>
      </c>
      <c r="D70" s="3">
        <v>886203349235</v>
      </c>
    </row>
    <row r="71" spans="3:4">
      <c r="C71" s="2" t="s">
        <v>68</v>
      </c>
      <c r="D71" s="3">
        <v>886203148656</v>
      </c>
    </row>
    <row r="72" spans="3:4">
      <c r="C72" s="2" t="s">
        <v>142</v>
      </c>
      <c r="D72" s="3">
        <v>886203023859</v>
      </c>
    </row>
    <row r="73" spans="3:4">
      <c r="C73" s="2" t="s">
        <v>136</v>
      </c>
      <c r="D73" s="3">
        <v>886203634480</v>
      </c>
    </row>
    <row r="74" spans="3:4">
      <c r="C74" s="2" t="s">
        <v>126</v>
      </c>
      <c r="D74" s="3">
        <v>886203775515</v>
      </c>
    </row>
    <row r="75" spans="3:4">
      <c r="C75" s="2" t="s">
        <v>180</v>
      </c>
      <c r="D75" s="3">
        <v>886203446184</v>
      </c>
    </row>
    <row r="76" spans="3:4">
      <c r="C76" s="2" t="s">
        <v>45</v>
      </c>
      <c r="D76" s="3">
        <v>886203631950</v>
      </c>
    </row>
    <row r="77" spans="3:4">
      <c r="C77" s="2" t="s">
        <v>184</v>
      </c>
      <c r="D77" s="3">
        <v>886203726571</v>
      </c>
    </row>
    <row r="78" spans="3:4">
      <c r="C78" s="2" t="s">
        <v>29</v>
      </c>
      <c r="D78" s="3">
        <v>886203900186</v>
      </c>
    </row>
    <row r="79" spans="3:4">
      <c r="C79" s="2" t="s">
        <v>192</v>
      </c>
      <c r="D79" s="3">
        <v>886203992980</v>
      </c>
    </row>
    <row r="80" spans="3:4">
      <c r="C80" s="2" t="s">
        <v>25</v>
      </c>
      <c r="D80" s="3">
        <v>886203511487</v>
      </c>
    </row>
    <row r="81" spans="3:4">
      <c r="C81" s="2" t="s">
        <v>27</v>
      </c>
      <c r="D81" s="3">
        <v>886203511786</v>
      </c>
    </row>
    <row r="82" spans="3:4">
      <c r="C82" s="2" t="s">
        <v>134</v>
      </c>
      <c r="D82" s="3">
        <v>886203436255</v>
      </c>
    </row>
    <row r="83" spans="3:4">
      <c r="C83" s="2" t="s">
        <v>10</v>
      </c>
      <c r="D83" s="3">
        <v>886203135821</v>
      </c>
    </row>
    <row r="84" spans="3:4">
      <c r="C84" s="2" t="s">
        <v>37</v>
      </c>
      <c r="D84" s="3">
        <v>886203673200</v>
      </c>
    </row>
    <row r="85" spans="3:4">
      <c r="C85" s="2" t="s">
        <v>190</v>
      </c>
      <c r="D85" s="3">
        <v>886203029773</v>
      </c>
    </row>
    <row r="86" spans="3:4">
      <c r="C86" s="2" t="s">
        <v>108</v>
      </c>
      <c r="D86" s="3">
        <v>886203204425</v>
      </c>
    </row>
    <row r="87" spans="3:4">
      <c r="C87" s="2" t="s">
        <v>49</v>
      </c>
      <c r="D87" s="3">
        <v>886203503239</v>
      </c>
    </row>
    <row r="88" spans="3:4">
      <c r="C88" s="2" t="s">
        <v>74</v>
      </c>
      <c r="D88" s="3">
        <v>886203422542</v>
      </c>
    </row>
    <row r="89" spans="3:4">
      <c r="C89" s="2" t="s">
        <v>200</v>
      </c>
      <c r="D89" s="3">
        <v>886203341841</v>
      </c>
    </row>
    <row r="90" spans="3:4">
      <c r="C90" s="2" t="s">
        <v>23</v>
      </c>
      <c r="D90" s="3">
        <v>886203694311</v>
      </c>
    </row>
    <row r="91" spans="3:4">
      <c r="C91" s="2" t="s">
        <v>70</v>
      </c>
      <c r="D91" s="3">
        <v>886203288290</v>
      </c>
    </row>
    <row r="92" spans="3:4">
      <c r="C92" s="2" t="s">
        <v>150</v>
      </c>
      <c r="D92" s="3">
        <v>886203923701</v>
      </c>
    </row>
    <row r="93" spans="3:4">
      <c r="C93" s="2" t="s">
        <v>186</v>
      </c>
      <c r="D93" s="3">
        <v>886203334986</v>
      </c>
    </row>
    <row r="94" spans="3:4">
      <c r="C94" s="2" t="s">
        <v>62</v>
      </c>
      <c r="D94" s="3">
        <v>886203046576</v>
      </c>
    </row>
    <row r="95" spans="3:4">
      <c r="C95" s="2" t="s">
        <v>130</v>
      </c>
      <c r="D95" s="3">
        <v>886203036575</v>
      </c>
    </row>
    <row r="96" spans="3:4">
      <c r="C96" s="2" t="s">
        <v>172</v>
      </c>
      <c r="D96" s="3">
        <v>886203979707</v>
      </c>
    </row>
    <row r="97" spans="3:4">
      <c r="C97" s="2" t="s">
        <v>174</v>
      </c>
      <c r="D97" s="3">
        <v>886203757256</v>
      </c>
    </row>
    <row r="98" spans="3:4">
      <c r="C98" s="2" t="s">
        <v>40</v>
      </c>
      <c r="D98" s="3">
        <v>886049928121</v>
      </c>
    </row>
    <row r="99" spans="3:4">
      <c r="C99" s="2" t="s">
        <v>54</v>
      </c>
      <c r="D99" s="3">
        <v>886051822939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347ffe-8392-4a6f-9cd2-4d7371e222a1}" enabled="0" method="" siteId="{74347ffe-8392-4a6f-9cd2-4d7371e222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2026-07-23T07:04:16Z</dcterms:created>
  <dcterms:modified xsi:type="dcterms:W3CDTF">2026-08-04T09:45:51Z</dcterms:modified>
  <cp:category/>
  <cp:contentStatus/>
</cp:coreProperties>
</file>