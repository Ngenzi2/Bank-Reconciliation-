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C35492B-FEF6-434D-813A-D2DF7032DD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7" i="1"/>
  <c r="D8" i="1"/>
  <c r="D9" i="1"/>
  <c r="D12" i="1"/>
  <c r="D13" i="1"/>
  <c r="D14" i="1"/>
  <c r="D16" i="1"/>
  <c r="D18" i="1"/>
  <c r="D19" i="1"/>
  <c r="D3" i="1"/>
</calcChain>
</file>

<file path=xl/sharedStrings.xml><?xml version="1.0" encoding="utf-8"?>
<sst xmlns="http://schemas.openxmlformats.org/spreadsheetml/2006/main" count="68" uniqueCount="50">
  <si>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</si>
  <si>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</si>
  <si>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</si>
  <si>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</si>
  <si>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</si>
  <si>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</si>
  <si>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</si>
  <si>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</si>
  <si>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2026-07-29</t>
  </si>
  <si>
    <t xml:space="preserve"> </t>
  </si>
  <si>
    <t xml:space="preserve">Opening balance </t>
  </si>
  <si>
    <t>2026-07-30</t>
  </si>
  <si>
    <t>FT26211B4CMV</t>
  </si>
  <si>
    <t>2026-07-30 13:37:00</t>
  </si>
  <si>
    <t>RWF26211CHHHKB0C</t>
  </si>
  <si>
    <t>2026-07-30 04:07:00</t>
  </si>
  <si>
    <t>FT26211K0XPM</t>
  </si>
  <si>
    <t>2026-07-30 09:27:00</t>
  </si>
  <si>
    <t>FT26211G0FX8</t>
  </si>
  <si>
    <t>690d0e9a-87a3-4efd-8220-7315880caadb</t>
  </si>
  <si>
    <t>2026-07-30 17:56:00</t>
  </si>
  <si>
    <t>FT26211VX5HL</t>
  </si>
  <si>
    <t>2026-07-30 10:29:00</t>
  </si>
  <si>
    <t>FT26211H9QHW</t>
  </si>
  <si>
    <t>2026-07-30 09:56:00</t>
  </si>
  <si>
    <t>FT26211NSJ86</t>
  </si>
  <si>
    <t>2026-07-30 13:34:00</t>
  </si>
  <si>
    <t>2026-07-31</t>
  </si>
  <si>
    <t>TT262120QFWR</t>
  </si>
  <si>
    <t>2026-07-31 11:49:00</t>
  </si>
  <si>
    <t>RWF26212F0J0JJMC</t>
  </si>
  <si>
    <t>2026-07-31 04:18:00</t>
  </si>
  <si>
    <t>FT26212T72RT</t>
  </si>
  <si>
    <t>2026-07-31 06:40:00</t>
  </si>
  <si>
    <t>FT26212CZ9D4</t>
  </si>
  <si>
    <t>2026-07-31 06:33:00</t>
  </si>
  <si>
    <t>2026-08-01</t>
  </si>
  <si>
    <t>FT26213H7VR6</t>
  </si>
  <si>
    <t>2026-08-01 20:12:00</t>
  </si>
  <si>
    <t>RWF262130HK0K0BJ</t>
  </si>
  <si>
    <t>2026-08-01 12:26:00</t>
  </si>
  <si>
    <t>FT26213Y5755</t>
  </si>
  <si>
    <t>2026-08-01 20:14:00</t>
  </si>
  <si>
    <t>2026-08-02</t>
  </si>
  <si>
    <t>RWF26214DDFM0BFK</t>
  </si>
  <si>
    <t>2026-08-02 03:25:00</t>
  </si>
  <si>
    <t>FT26214Z0LVH</t>
  </si>
  <si>
    <t>2026-08-02 17:59:00</t>
  </si>
  <si>
    <t>FT26214BB5FF</t>
  </si>
  <si>
    <t>2026-08-02 01:57:00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</si>
</sst>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2" fillId="2" borderId="1" xfId="1" applyBorder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7109375" defaultRowHeight="14.45"/>
  <cols>
    <col min="1" max="1" width="13.85546875" style="2" bestFit="1" customWidth="1"/>
    <col min="2" max="2" width="22.28515625" style="2" customWidth="1"/>
    <col min="3" max="3" width="35.85546875" style="2" customWidth="1"/>
    <col min="4" max="4" width="35.42578125" style="2" customWidth="1"/>
    <col min="5" max="5" width="17.7109375" style="2" bestFit="1" customWidth="1"/>
    <col min="6" max="6" width="8" style="2" bestFit="1" customWidth="1"/>
    <col min="7" max="7" width="7.42578125" style="2" bestFit="1" customWidth="1"/>
    <col min="8" max="8" width="17.140625" style="2" bestFit="1" customWidth="1"/>
    <col min="9" max="16384" width="8.7109375" style="2"/>
  </cols>
  <sheetData>
    <row r="1" spans="1:8" ht="32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152000</v>
      </c>
    </row>
    <row r="3" spans="1:8">
      <c r="A3" s="3" t="s">
        <v>11</v>
      </c>
      <c r="B3" s="3" t="s">
        <v>12</v>
      </c>
      <c r="C3" s="3">
        <v>20144784560</v>
      </c>
      <c r="D3" s="6">
        <f>_xlfn.XLOOKUP(C3,Sheet1!A:A,Sheet1!B:B)</f>
        <v>886211268711</v>
      </c>
      <c r="E3" s="3" t="s">
        <v>13</v>
      </c>
      <c r="F3" s="4">
        <v>0</v>
      </c>
      <c r="G3" s="4">
        <v>25000</v>
      </c>
      <c r="H3" s="4">
        <v>177000</v>
      </c>
    </row>
    <row r="4" spans="1:8">
      <c r="A4" s="3" t="s">
        <v>11</v>
      </c>
      <c r="B4" s="3" t="s">
        <v>14</v>
      </c>
      <c r="C4" s="3" t="s">
        <v>9</v>
      </c>
      <c r="D4" s="6"/>
      <c r="E4" s="3" t="s">
        <v>15</v>
      </c>
      <c r="F4" s="4">
        <v>-150000</v>
      </c>
      <c r="G4" s="4">
        <v>0</v>
      </c>
      <c r="H4" s="4">
        <v>27000</v>
      </c>
    </row>
    <row r="5" spans="1:8">
      <c r="A5" s="3" t="s">
        <v>11</v>
      </c>
      <c r="B5" s="3" t="s">
        <v>16</v>
      </c>
      <c r="C5" s="3">
        <v>20144778704</v>
      </c>
      <c r="D5" s="6">
        <f>_xlfn.XLOOKUP(C5,Sheet1!A:A,Sheet1!B:B)</f>
        <v>886211364496</v>
      </c>
      <c r="E5" s="3" t="s">
        <v>17</v>
      </c>
      <c r="F5" s="4">
        <v>0</v>
      </c>
      <c r="G5" s="4">
        <v>12000</v>
      </c>
      <c r="H5" s="4">
        <v>39000</v>
      </c>
    </row>
    <row r="6" spans="1:8">
      <c r="A6" s="3" t="s">
        <v>11</v>
      </c>
      <c r="B6" s="3" t="s">
        <v>18</v>
      </c>
      <c r="C6" s="3" t="s">
        <v>19</v>
      </c>
      <c r="D6" s="6"/>
      <c r="E6" s="3" t="s">
        <v>20</v>
      </c>
      <c r="F6" s="4">
        <v>0</v>
      </c>
      <c r="G6" s="4">
        <v>500</v>
      </c>
      <c r="H6" s="4">
        <v>39500</v>
      </c>
    </row>
    <row r="7" spans="1:8">
      <c r="A7" s="3" t="s">
        <v>11</v>
      </c>
      <c r="B7" s="3" t="s">
        <v>21</v>
      </c>
      <c r="C7" s="3">
        <v>20144780218</v>
      </c>
      <c r="D7" s="6">
        <f>_xlfn.XLOOKUP(C7,Sheet1!A:A,Sheet1!B:B)</f>
        <v>886211268376</v>
      </c>
      <c r="E7" s="3" t="s">
        <v>22</v>
      </c>
      <c r="F7" s="4">
        <v>0</v>
      </c>
      <c r="G7" s="4">
        <v>10000</v>
      </c>
      <c r="H7" s="4">
        <v>49500</v>
      </c>
    </row>
    <row r="8" spans="1:8">
      <c r="A8" s="3" t="s">
        <v>11</v>
      </c>
      <c r="B8" s="3" t="s">
        <v>23</v>
      </c>
      <c r="C8" s="3">
        <v>20144761868</v>
      </c>
      <c r="D8" s="6">
        <f>_xlfn.XLOOKUP(C8,Sheet1!A:A,Sheet1!B:B)</f>
        <v>886210730651</v>
      </c>
      <c r="E8" s="3" t="s">
        <v>24</v>
      </c>
      <c r="F8" s="4">
        <v>0</v>
      </c>
      <c r="G8" s="4">
        <v>300000</v>
      </c>
      <c r="H8" s="4">
        <v>349500</v>
      </c>
    </row>
    <row r="9" spans="1:8">
      <c r="A9" s="3" t="s">
        <v>11</v>
      </c>
      <c r="B9" s="3" t="s">
        <v>25</v>
      </c>
      <c r="C9" s="3">
        <v>20144784477</v>
      </c>
      <c r="D9" s="6">
        <f>_xlfn.XLOOKUP(C9,Sheet1!A:A,Sheet1!B:B)</f>
        <v>886211392305</v>
      </c>
      <c r="E9" s="3" t="s">
        <v>26</v>
      </c>
      <c r="F9" s="4">
        <v>0</v>
      </c>
      <c r="G9" s="4">
        <v>10000</v>
      </c>
      <c r="H9" s="4">
        <v>359500</v>
      </c>
    </row>
    <row r="10" spans="1:8">
      <c r="A10" s="3" t="s">
        <v>27</v>
      </c>
      <c r="B10" s="3" t="s">
        <v>28</v>
      </c>
      <c r="C10" s="3" t="s">
        <v>9</v>
      </c>
      <c r="D10" s="6"/>
      <c r="E10" s="3" t="s">
        <v>29</v>
      </c>
      <c r="F10" s="4">
        <v>0</v>
      </c>
      <c r="G10" s="4">
        <v>500</v>
      </c>
      <c r="H10" s="4">
        <v>360000</v>
      </c>
    </row>
    <row r="11" spans="1:8">
      <c r="A11" s="3" t="s">
        <v>27</v>
      </c>
      <c r="B11" s="3" t="s">
        <v>30</v>
      </c>
      <c r="C11" s="3" t="s">
        <v>9</v>
      </c>
      <c r="D11" s="6"/>
      <c r="E11" s="3" t="s">
        <v>31</v>
      </c>
      <c r="F11" s="4">
        <v>-357500</v>
      </c>
      <c r="G11" s="4">
        <v>0</v>
      </c>
      <c r="H11" s="4">
        <v>2500</v>
      </c>
    </row>
    <row r="12" spans="1:8">
      <c r="A12" s="3" t="s">
        <v>27</v>
      </c>
      <c r="B12" s="3" t="s">
        <v>32</v>
      </c>
      <c r="C12" s="3">
        <v>20144796509</v>
      </c>
      <c r="D12" s="6">
        <f>_xlfn.XLOOKUP(C12,Sheet1!A:A,Sheet1!B:B)</f>
        <v>886212860809</v>
      </c>
      <c r="E12" s="3" t="s">
        <v>33</v>
      </c>
      <c r="F12" s="4">
        <v>0</v>
      </c>
      <c r="G12" s="4">
        <v>30000</v>
      </c>
      <c r="H12" s="4">
        <v>32500</v>
      </c>
    </row>
    <row r="13" spans="1:8">
      <c r="A13" s="3" t="s">
        <v>27</v>
      </c>
      <c r="B13" s="3" t="s">
        <v>34</v>
      </c>
      <c r="C13" s="3">
        <v>20144796461</v>
      </c>
      <c r="D13" s="6">
        <f>_xlfn.XLOOKUP(C13,Sheet1!A:A,Sheet1!B:B)</f>
        <v>886212789424</v>
      </c>
      <c r="E13" s="3" t="s">
        <v>35</v>
      </c>
      <c r="F13" s="4">
        <v>0</v>
      </c>
      <c r="G13" s="4">
        <v>10000</v>
      </c>
      <c r="H13" s="4">
        <v>42500</v>
      </c>
    </row>
    <row r="14" spans="1:8">
      <c r="A14" s="3" t="s">
        <v>36</v>
      </c>
      <c r="B14" s="3" t="s">
        <v>37</v>
      </c>
      <c r="C14" s="3">
        <v>20144832646</v>
      </c>
      <c r="D14" s="6">
        <f>_xlfn.XLOOKUP(C14,Sheet1!A:A,Sheet1!B:B)</f>
        <v>886213231958</v>
      </c>
      <c r="E14" s="3" t="s">
        <v>38</v>
      </c>
      <c r="F14" s="4">
        <v>0</v>
      </c>
      <c r="G14" s="4">
        <v>25000</v>
      </c>
      <c r="H14" s="4">
        <v>67500</v>
      </c>
    </row>
    <row r="15" spans="1:8">
      <c r="A15" s="3" t="s">
        <v>36</v>
      </c>
      <c r="B15" s="3" t="s">
        <v>39</v>
      </c>
      <c r="C15" s="3" t="s">
        <v>9</v>
      </c>
      <c r="D15" s="6"/>
      <c r="E15" s="3" t="s">
        <v>40</v>
      </c>
      <c r="F15" s="4">
        <v>-40500</v>
      </c>
      <c r="G15" s="4">
        <v>0</v>
      </c>
      <c r="H15" s="4">
        <v>27000</v>
      </c>
    </row>
    <row r="16" spans="1:8">
      <c r="A16" s="3" t="s">
        <v>36</v>
      </c>
      <c r="B16" s="3" t="s">
        <v>41</v>
      </c>
      <c r="C16" s="3">
        <v>20144832653</v>
      </c>
      <c r="D16" s="6">
        <f>_xlfn.XLOOKUP(C16,Sheet1!A:A,Sheet1!B:B)</f>
        <v>886213526051</v>
      </c>
      <c r="E16" s="3" t="s">
        <v>42</v>
      </c>
      <c r="F16" s="4">
        <v>0</v>
      </c>
      <c r="G16" s="4">
        <v>5000</v>
      </c>
      <c r="H16" s="4">
        <v>32000</v>
      </c>
    </row>
    <row r="17" spans="1:8">
      <c r="A17" s="3" t="s">
        <v>43</v>
      </c>
      <c r="B17" s="3" t="s">
        <v>44</v>
      </c>
      <c r="C17" s="3" t="s">
        <v>9</v>
      </c>
      <c r="D17" s="6"/>
      <c r="E17" s="3" t="s">
        <v>45</v>
      </c>
      <c r="F17" s="4">
        <v>-230000</v>
      </c>
      <c r="G17" s="4">
        <v>0</v>
      </c>
      <c r="H17" s="4">
        <v>-198000</v>
      </c>
    </row>
    <row r="18" spans="1:8">
      <c r="A18" s="3" t="s">
        <v>43</v>
      </c>
      <c r="B18" s="3" t="s">
        <v>46</v>
      </c>
      <c r="C18" s="3">
        <v>20144843333</v>
      </c>
      <c r="D18" s="6">
        <f>_xlfn.XLOOKUP(C18,Sheet1!A:A,Sheet1!B:B)</f>
        <v>886214313323</v>
      </c>
      <c r="E18" s="3" t="s">
        <v>47</v>
      </c>
      <c r="F18" s="4">
        <v>0</v>
      </c>
      <c r="G18" s="4">
        <v>10000</v>
      </c>
      <c r="H18" s="4">
        <v>-188000</v>
      </c>
    </row>
    <row r="19" spans="1:8">
      <c r="A19" s="3" t="s">
        <v>43</v>
      </c>
      <c r="B19" s="3" t="s">
        <v>48</v>
      </c>
      <c r="C19" s="3">
        <v>20144834574</v>
      </c>
      <c r="D19" s="6">
        <f>_xlfn.XLOOKUP(C19,Sheet1!A:A,Sheet1!B:B)</f>
        <v>886213143567</v>
      </c>
      <c r="E19" s="3" t="s">
        <v>49</v>
      </c>
      <c r="F19" s="4">
        <v>0</v>
      </c>
      <c r="G19" s="4">
        <v>200000</v>
      </c>
      <c r="H19" s="4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F1FC-525A-48A4-A00A-B1637559E7E5}">
  <dimension ref="A1:B11"/>
  <sheetViews>
    <sheetView workbookViewId="0">
      <selection activeCell="F6" sqref="F6"/>
    </sheetView>
  </sheetViews>
  <sheetFormatPr defaultRowHeight="14.45"/>
  <cols>
    <col min="1" max="1" width="11.85546875" bestFit="1" customWidth="1"/>
    <col min="2" max="2" width="16.42578125" bestFit="1" customWidth="1"/>
  </cols>
  <sheetData>
    <row r="1" spans="1:2">
      <c r="A1">
        <v>20144761868</v>
      </c>
      <c r="B1" s="1">
        <v>886210730651</v>
      </c>
    </row>
    <row r="2" spans="1:2">
      <c r="A2">
        <v>20144778704</v>
      </c>
      <c r="B2" s="1">
        <v>886211364496</v>
      </c>
    </row>
    <row r="3" spans="1:2">
      <c r="A3">
        <v>20144780218</v>
      </c>
      <c r="B3" s="1">
        <v>886211268376</v>
      </c>
    </row>
    <row r="4" spans="1:2">
      <c r="A4">
        <v>20144784477</v>
      </c>
      <c r="B4" s="1">
        <v>886211392305</v>
      </c>
    </row>
    <row r="5" spans="1:2">
      <c r="A5">
        <v>20144784560</v>
      </c>
      <c r="B5" s="1">
        <v>886211268711</v>
      </c>
    </row>
    <row r="6" spans="1:2">
      <c r="A6">
        <v>20144796461</v>
      </c>
      <c r="B6" s="1">
        <v>886212789424</v>
      </c>
    </row>
    <row r="7" spans="1:2">
      <c r="A7">
        <v>20144796509</v>
      </c>
      <c r="B7" s="1">
        <v>886212860809</v>
      </c>
    </row>
    <row r="8" spans="1:2">
      <c r="A8">
        <v>20144832646</v>
      </c>
      <c r="B8" s="1">
        <v>886213231958</v>
      </c>
    </row>
    <row r="9" spans="1:2">
      <c r="A9">
        <v>20144832653</v>
      </c>
      <c r="B9" s="1">
        <v>886213526051</v>
      </c>
    </row>
    <row r="10" spans="1:2">
      <c r="A10">
        <v>20144834574</v>
      </c>
      <c r="B10" s="1">
        <v>886213143567</v>
      </c>
    </row>
    <row r="11" spans="1:2">
      <c r="A11">
        <v>20144843333</v>
      </c>
      <c r="B11" s="1">
        <v>886214313323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2026-08-03T08:24:03Z</dcterms:created>
  <dcterms:modified xsi:type="dcterms:W3CDTF">2026-08-04T11:37:15Z</dcterms:modified>
  <cp:category/>
  <cp:contentStatus/>
</cp:coreProperties>
</file>