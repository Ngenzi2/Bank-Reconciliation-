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250" documentId="11_0C8EA73B2C0F8674DFA33C4D864EEB61C562549F" xr6:coauthVersionLast="47" xr6:coauthVersionMax="47" xr10:uidLastSave="{FDE24DA7-A7AB-44C9-B249-331FAA9CD07D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1" i="1"/>
  <c r="D12" i="1"/>
  <c r="D13" i="1"/>
  <c r="D14" i="1"/>
  <c r="D16" i="1"/>
  <c r="D17" i="1"/>
  <c r="D18" i="1"/>
  <c r="D19" i="1"/>
  <c r="D20" i="1"/>
  <c r="D21" i="1"/>
  <c r="D23" i="1"/>
  <c r="D24" i="1"/>
  <c r="D27" i="1"/>
  <c r="D28" i="1"/>
  <c r="D29" i="1"/>
  <c r="D30" i="1"/>
  <c r="D31" i="1"/>
  <c r="D34" i="1"/>
  <c r="D36" i="1"/>
  <c r="D37" i="1"/>
  <c r="D38" i="1"/>
  <c r="D41" i="1"/>
  <c r="D45" i="1"/>
  <c r="D46" i="1"/>
  <c r="D49" i="1"/>
  <c r="D52" i="1"/>
  <c r="D55" i="1"/>
  <c r="D57" i="1"/>
  <c r="D58" i="1"/>
  <c r="D60" i="1"/>
  <c r="D62" i="1"/>
  <c r="D64" i="1"/>
  <c r="D65" i="1"/>
</calcChain>
</file>

<file path=xl/sharedStrings.xml><?xml version="1.0" encoding="utf-8"?>
<sst xmlns="http://schemas.openxmlformats.org/spreadsheetml/2006/main" count="417" uniqueCount="178">
  <si>
    <t>BOOKING_DATE</t>
  </si>
  <si>
    <t>BANK_REFERENCE</t>
  </si>
  <si>
    <t>DESCRIPTION</t>
  </si>
  <si>
    <t>INVOICE</t>
  </si>
  <si>
    <t>VALUE_DATE</t>
  </si>
  <si>
    <t>DEBIT</t>
  </si>
  <si>
    <t>CREDIT</t>
  </si>
  <si>
    <t>CLOSING_BALANCE</t>
  </si>
  <si>
    <t>2026-07-10</t>
  </si>
  <si>
    <t>FT26191MFK4H</t>
  </si>
  <si>
    <t>SZG09XR1Q91Y</t>
  </si>
  <si>
    <t>10-JUL-26</t>
  </si>
  <si>
    <t>FT26191NH63Y</t>
  </si>
  <si>
    <t>SZG09YA2TTTV</t>
  </si>
  <si>
    <t>FT26191L8DXK</t>
  </si>
  <si>
    <t>SZU09YET88WE</t>
  </si>
  <si>
    <t>FT26191NLS1T</t>
  </si>
  <si>
    <t>SZH09XMU6XC6</t>
  </si>
  <si>
    <t>FT261915Z6YT</t>
  </si>
  <si>
    <t>SZM09XMXMHBT</t>
  </si>
  <si>
    <t>FT261910C8HH</t>
  </si>
  <si>
    <t>SZV09XM4MSMG</t>
  </si>
  <si>
    <t>FT26191C54HM</t>
  </si>
  <si>
    <t>SZR09X3RW7QR</t>
  </si>
  <si>
    <t>FT26191YWJVS</t>
  </si>
  <si>
    <t>SZA09X3VWATG</t>
  </si>
  <si>
    <t>FT26191FR4R3</t>
  </si>
  <si>
    <t>SZ209X84NSS6</t>
  </si>
  <si>
    <t>FT26191PZTS8</t>
  </si>
  <si>
    <t>SZ909X3ZKQS4</t>
  </si>
  <si>
    <t>FT261916RJWJ</t>
  </si>
  <si>
    <t>SZL09X3DL3S1</t>
  </si>
  <si>
    <t>FT261912ZDLW</t>
  </si>
  <si>
    <t>SZG09X04QJRM</t>
  </si>
  <si>
    <t>FT26191ZSP17</t>
  </si>
  <si>
    <t>SZ809X00F2FF</t>
  </si>
  <si>
    <t>FT2619112946</t>
  </si>
  <si>
    <t>20144510487</t>
  </si>
  <si>
    <t>FT261919XQZL</t>
  </si>
  <si>
    <t>SZM09X1BBVD5</t>
  </si>
  <si>
    <t>FT2619103MG8</t>
  </si>
  <si>
    <t>SZS09XUXBD5L</t>
  </si>
  <si>
    <t>FT261915WQBP</t>
  </si>
  <si>
    <t>SZ809X1FZXDK</t>
  </si>
  <si>
    <t>FT26191829P9</t>
  </si>
  <si>
    <t>SZ809XQPPNQE</t>
  </si>
  <si>
    <t>FT261915K626</t>
  </si>
  <si>
    <t>SZP09YABZK8R</t>
  </si>
  <si>
    <t>FT26191CVR6X</t>
  </si>
  <si>
    <t>SZW09YAEF2V9</t>
  </si>
  <si>
    <t>FT26191WPNM4</t>
  </si>
  <si>
    <t>SZ109X3UFLVL</t>
  </si>
  <si>
    <t>FT261916TRP4</t>
  </si>
  <si>
    <t>SZR09YBCQR28</t>
  </si>
  <si>
    <t>FT261918CBGG</t>
  </si>
  <si>
    <t>SZZ09XMMWEMJ</t>
  </si>
  <si>
    <t>FT26191Y2Q67</t>
  </si>
  <si>
    <t>SZ109X70Z226</t>
  </si>
  <si>
    <t>FT261915FKKF</t>
  </si>
  <si>
    <t>SZ209XZ6LUQ7</t>
  </si>
  <si>
    <t>FT261919C9P1</t>
  </si>
  <si>
    <t>SZU09XQVYZTC</t>
  </si>
  <si>
    <t>FT26191TW5CQ</t>
  </si>
  <si>
    <t>SZD09XNPFZ17</t>
  </si>
  <si>
    <t>FT261912C51B</t>
  </si>
  <si>
    <t>SZY09X2L6D68</t>
  </si>
  <si>
    <t>FT261918H1DM</t>
  </si>
  <si>
    <t>SZS09XM1T4RS</t>
  </si>
  <si>
    <t>FT26191PQ6PV</t>
  </si>
  <si>
    <t>SZR09XMLZQH8</t>
  </si>
  <si>
    <t>FT26191TBZ5J</t>
  </si>
  <si>
    <t>SZ709X6M4RDW</t>
  </si>
  <si>
    <t>FT26191LNVR2</t>
  </si>
  <si>
    <t>SZC09X3W9YNZ</t>
  </si>
  <si>
    <t>FT26191VBDNP</t>
  </si>
  <si>
    <t>SZT09XPBLTBC</t>
  </si>
  <si>
    <t>FT26191321XX</t>
  </si>
  <si>
    <t>SZA09XQMUGP6</t>
  </si>
  <si>
    <t>FT26191GSW55</t>
  </si>
  <si>
    <t>SZP09X3668S3</t>
  </si>
  <si>
    <t>FT26191RVTDV</t>
  </si>
  <si>
    <t>SZT09X14GYW6</t>
  </si>
  <si>
    <t>FT261918Z8R5</t>
  </si>
  <si>
    <t>SZP09XPPNXWC</t>
  </si>
  <si>
    <t>FT26191X7BH5</t>
  </si>
  <si>
    <t>SZB09XPKLGY6</t>
  </si>
  <si>
    <t>FT26191G3CXH</t>
  </si>
  <si>
    <t>SZ809X060WU8</t>
  </si>
  <si>
    <t>FT26191PTX48</t>
  </si>
  <si>
    <t>SZR09XNM18AL</t>
  </si>
  <si>
    <t>FT261916N1SR</t>
  </si>
  <si>
    <t>SZ109X8UYAQ9</t>
  </si>
  <si>
    <t>FT261916XTTX</t>
  </si>
  <si>
    <t>SZ809XVNSP1B</t>
  </si>
  <si>
    <t>FT26191X5Z04</t>
  </si>
  <si>
    <t>SZG09X48TA0D</t>
  </si>
  <si>
    <t>FT26191268DK</t>
  </si>
  <si>
    <t>SZR09X306CD2</t>
  </si>
  <si>
    <t>FT26191NWSBY</t>
  </si>
  <si>
    <t>SZN09X35G8MK</t>
  </si>
  <si>
    <t>FT26191LTR6Y</t>
  </si>
  <si>
    <t>SZL09XQTY54N</t>
  </si>
  <si>
    <t>FT261913351G</t>
  </si>
  <si>
    <t>SZK09XM4HDUT</t>
  </si>
  <si>
    <t>2026-07-11</t>
  </si>
  <si>
    <t>FT26192XJYSS</t>
  </si>
  <si>
    <t>SZR09Z1K022Y</t>
  </si>
  <si>
    <t>11-JUL-26</t>
  </si>
  <si>
    <t>FT26192W5VXZ</t>
  </si>
  <si>
    <t>SZJ09ZHRQJZ4</t>
  </si>
  <si>
    <t>FT26192YK6SH</t>
  </si>
  <si>
    <t>SZB09ZJHLGVR</t>
  </si>
  <si>
    <t>FT26192MGWMR</t>
  </si>
  <si>
    <t>SZQ09Z330WMT</t>
  </si>
  <si>
    <t>FT26192QMGYS</t>
  </si>
  <si>
    <t>SZD09ZK681NX</t>
  </si>
  <si>
    <t>FT26192T78Y4</t>
  </si>
  <si>
    <t>SZN09ZRVWPLQ</t>
  </si>
  <si>
    <t>FT26192Z64KH</t>
  </si>
  <si>
    <t>SZU09ZGBT5GY</t>
  </si>
  <si>
    <t>FT261922Y8PK</t>
  </si>
  <si>
    <t>SZ409ZPBVEWJ</t>
  </si>
  <si>
    <t>FT26192TPZ4Q</t>
  </si>
  <si>
    <t>SZW09ZEX97J3</t>
  </si>
  <si>
    <t>FT26192M1JVZ</t>
  </si>
  <si>
    <t>SZT09ZEAPPSH</t>
  </si>
  <si>
    <t>FT26192S0BLG</t>
  </si>
  <si>
    <t>SZK09ZFJWLNX</t>
  </si>
  <si>
    <t>FT26192WVWZT</t>
  </si>
  <si>
    <t>SZU09ZNM00CN</t>
  </si>
  <si>
    <t>FT26192R5CHY</t>
  </si>
  <si>
    <t>SZ809ZDEWGQW</t>
  </si>
  <si>
    <t>FT261928W3ZR</t>
  </si>
  <si>
    <t>SZY09ZCVXE53</t>
  </si>
  <si>
    <t>FT26192NLK64</t>
  </si>
  <si>
    <t>SZ009ZQYEQTC</t>
  </si>
  <si>
    <t>FT26192KY7CZ</t>
  </si>
  <si>
    <t>SZT09ZNK4QRE</t>
  </si>
  <si>
    <t>FT2619236R1X</t>
  </si>
  <si>
    <t>SZS09ZFWZ2T4</t>
  </si>
  <si>
    <t>FT26192WKDJZ</t>
  </si>
  <si>
    <t>SZ409ZQAM0R4</t>
  </si>
  <si>
    <t>FT26192J22WN</t>
  </si>
  <si>
    <t>SZQ09Z3STU92</t>
  </si>
  <si>
    <t>FT261926M2JW</t>
  </si>
  <si>
    <t>SZA09ZTFWEC6</t>
  </si>
  <si>
    <t>FT261925T666</t>
  </si>
  <si>
    <t>SZ709ZJFSYSZ</t>
  </si>
  <si>
    <t>FT26192PVHFZ</t>
  </si>
  <si>
    <t>SZR09ZFF5V1Q</t>
  </si>
  <si>
    <t>2026-07-12</t>
  </si>
  <si>
    <t>FT26193SW12H</t>
  </si>
  <si>
    <t>SZF092HSBCT8</t>
  </si>
  <si>
    <t>12-JUL-26</t>
  </si>
  <si>
    <t>FT26193R1XV8</t>
  </si>
  <si>
    <t>SZM092DZVCD5</t>
  </si>
  <si>
    <t>FT26193QTT5N</t>
  </si>
  <si>
    <t>SZ2092ZFCKB6</t>
  </si>
  <si>
    <t>FT2619314PB9</t>
  </si>
  <si>
    <t>SZ40923L36FK</t>
  </si>
  <si>
    <t>FT26193SHWGF</t>
  </si>
  <si>
    <t>SZ7092VD8JV0</t>
  </si>
  <si>
    <t>FT26193YPFHH</t>
  </si>
  <si>
    <t>SZT092PVCTMT</t>
  </si>
  <si>
    <t>FT26193LJR8V</t>
  </si>
  <si>
    <t>SZU092WUF32N</t>
  </si>
  <si>
    <t>FT26193F6ZP3</t>
  </si>
  <si>
    <t>SZJ092VY5YYA</t>
  </si>
  <si>
    <t>FT26193X1SGJ</t>
  </si>
  <si>
    <t>SZ3092TU03FA</t>
  </si>
  <si>
    <t>FT26193R71R1</t>
  </si>
  <si>
    <t>SZ9092F8GTE3</t>
  </si>
  <si>
    <t>FT26193MYGRF</t>
  </si>
  <si>
    <t>SZD092U70SQS</t>
  </si>
  <si>
    <t>FT26193GJB4J</t>
  </si>
  <si>
    <t>SZN092PAN6M3</t>
  </si>
  <si>
    <t>FT2619321LWF</t>
  </si>
  <si>
    <t>SZG092U38T4N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</si>
</sst>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topLeftCell="B1" workbookViewId="0">
      <pane ySplit="1" topLeftCell="A2" activePane="bottomLeft" state="frozen"/>
      <selection pane="bottomLeft" activeCell="B1" sqref="A1:XFD1"/>
    </sheetView>
  </sheetViews>
  <sheetFormatPr defaultRowHeight="14.45"/>
  <cols>
    <col min="1" max="1" width="13.85546875" bestFit="1" customWidth="1"/>
    <col min="2" max="2" width="19.28515625" bestFit="1" customWidth="1"/>
    <col min="3" max="3" width="14.85546875" bestFit="1" customWidth="1"/>
    <col min="4" max="4" width="15.42578125" style="2" bestFit="1" customWidth="1"/>
    <col min="6" max="6" width="9.140625" bestFit="1" customWidth="1"/>
    <col min="7" max="7" width="7.42578125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f>_xlfn.XLOOKUP(C2,SQL!C1:C82,SQL!D1:D82)</f>
        <v>886191787824</v>
      </c>
      <c r="E2" t="s">
        <v>11</v>
      </c>
      <c r="F2" s="1">
        <v>0</v>
      </c>
      <c r="G2" s="1">
        <v>1200</v>
      </c>
      <c r="H2" s="1">
        <v>2980700</v>
      </c>
    </row>
    <row r="3" spans="1:8">
      <c r="A3" t="s">
        <v>8</v>
      </c>
      <c r="B3" t="s">
        <v>12</v>
      </c>
      <c r="C3" t="s">
        <v>13</v>
      </c>
      <c r="D3" s="2">
        <f>_xlfn.XLOOKUP(C3,SQL!C2:C83,SQL!D2:D83)</f>
        <v>886191893173</v>
      </c>
      <c r="E3" t="s">
        <v>11</v>
      </c>
      <c r="F3" s="1">
        <v>0</v>
      </c>
      <c r="G3" s="1">
        <v>25000</v>
      </c>
      <c r="H3" s="1">
        <v>28200</v>
      </c>
    </row>
    <row r="4" spans="1:8">
      <c r="A4" t="s">
        <v>8</v>
      </c>
      <c r="B4" t="s">
        <v>14</v>
      </c>
      <c r="C4" t="s">
        <v>15</v>
      </c>
      <c r="D4" s="2">
        <f>_xlfn.XLOOKUP(C4,SQL!C3:C84,SQL!D3:D84)</f>
        <v>886191172593</v>
      </c>
      <c r="E4" t="s">
        <v>11</v>
      </c>
      <c r="F4" s="1">
        <v>0</v>
      </c>
      <c r="G4" s="1">
        <v>25000</v>
      </c>
      <c r="H4" s="1">
        <v>53200</v>
      </c>
    </row>
    <row r="5" spans="1:8">
      <c r="A5" t="s">
        <v>8</v>
      </c>
      <c r="B5" t="s">
        <v>16</v>
      </c>
      <c r="C5" t="s">
        <v>17</v>
      </c>
      <c r="D5" s="2">
        <f>_xlfn.XLOOKUP(C5,SQL!C4:C85,SQL!D4:D85)</f>
        <v>886191044640</v>
      </c>
      <c r="E5" t="s">
        <v>11</v>
      </c>
      <c r="F5" s="1">
        <v>0</v>
      </c>
      <c r="G5" s="1">
        <v>500</v>
      </c>
      <c r="H5" s="1">
        <v>53700</v>
      </c>
    </row>
    <row r="6" spans="1:8">
      <c r="A6" t="s">
        <v>8</v>
      </c>
      <c r="B6" t="s">
        <v>18</v>
      </c>
      <c r="C6" t="s">
        <v>19</v>
      </c>
      <c r="D6" s="2">
        <f>_xlfn.XLOOKUP(C6,SQL!C5:C86,SQL!D5:D86)</f>
        <v>886191102776</v>
      </c>
      <c r="E6" t="s">
        <v>11</v>
      </c>
      <c r="F6" s="1">
        <v>0</v>
      </c>
      <c r="G6" s="1">
        <v>500</v>
      </c>
      <c r="H6" s="1">
        <v>54200</v>
      </c>
    </row>
    <row r="7" spans="1:8">
      <c r="A7" t="s">
        <v>8</v>
      </c>
      <c r="B7" t="s">
        <v>20</v>
      </c>
      <c r="C7" t="s">
        <v>21</v>
      </c>
      <c r="D7" s="2">
        <f>_xlfn.XLOOKUP(C7,SQL!C6:C87,SQL!D6:D87)</f>
        <v>886191136463</v>
      </c>
      <c r="E7" t="s">
        <v>11</v>
      </c>
      <c r="F7" s="1">
        <v>0</v>
      </c>
      <c r="G7" s="1">
        <v>500</v>
      </c>
      <c r="H7" s="1">
        <v>54700</v>
      </c>
    </row>
    <row r="8" spans="1:8">
      <c r="A8" t="s">
        <v>8</v>
      </c>
      <c r="B8" t="s">
        <v>22</v>
      </c>
      <c r="C8" t="s">
        <v>23</v>
      </c>
      <c r="D8" s="2">
        <f>_xlfn.XLOOKUP(C8,SQL!C7:C88,SQL!D7:D88)</f>
        <v>886191185575</v>
      </c>
      <c r="E8" t="s">
        <v>11</v>
      </c>
      <c r="F8" s="1">
        <v>0</v>
      </c>
      <c r="G8" s="1">
        <v>25000</v>
      </c>
      <c r="H8" s="1">
        <v>79700</v>
      </c>
    </row>
    <row r="9" spans="1:8">
      <c r="A9" t="s">
        <v>8</v>
      </c>
      <c r="B9" t="s">
        <v>24</v>
      </c>
      <c r="C9" t="s">
        <v>25</v>
      </c>
      <c r="D9" s="2">
        <f>_xlfn.XLOOKUP(C9,SQL!C8:C89,SQL!D8:D89)</f>
        <v>886191631303</v>
      </c>
      <c r="E9" t="s">
        <v>11</v>
      </c>
      <c r="F9" s="1">
        <v>0</v>
      </c>
      <c r="G9" s="1">
        <v>9000</v>
      </c>
      <c r="H9" s="1">
        <v>88700</v>
      </c>
    </row>
    <row r="10" spans="1:8">
      <c r="A10" t="s">
        <v>8</v>
      </c>
      <c r="B10" t="s">
        <v>26</v>
      </c>
      <c r="C10" t="s">
        <v>27</v>
      </c>
      <c r="D10" s="2">
        <v>886191740834</v>
      </c>
      <c r="E10" t="s">
        <v>11</v>
      </c>
      <c r="F10" s="1">
        <v>0</v>
      </c>
      <c r="G10" s="1">
        <v>20000</v>
      </c>
      <c r="H10" s="1">
        <v>108700</v>
      </c>
    </row>
    <row r="11" spans="1:8">
      <c r="A11" t="s">
        <v>8</v>
      </c>
      <c r="B11" t="s">
        <v>28</v>
      </c>
      <c r="C11" t="s">
        <v>29</v>
      </c>
      <c r="D11" s="2">
        <f>_xlfn.XLOOKUP(C11,SQL!C10:C91,SQL!D10:D91)</f>
        <v>886191418454</v>
      </c>
      <c r="E11" t="s">
        <v>11</v>
      </c>
      <c r="F11" s="1">
        <v>0</v>
      </c>
      <c r="G11" s="1">
        <v>7000</v>
      </c>
      <c r="H11" s="1">
        <v>115700</v>
      </c>
    </row>
    <row r="12" spans="1:8">
      <c r="A12" t="s">
        <v>8</v>
      </c>
      <c r="B12" t="s">
        <v>30</v>
      </c>
      <c r="C12" t="s">
        <v>31</v>
      </c>
      <c r="D12" s="2">
        <f>_xlfn.XLOOKUP(C12,SQL!C11:C92,SQL!D11:D92)</f>
        <v>876191412298</v>
      </c>
      <c r="E12" t="s">
        <v>11</v>
      </c>
      <c r="F12" s="1">
        <v>0</v>
      </c>
      <c r="G12" s="1">
        <v>10000</v>
      </c>
      <c r="H12" s="1">
        <v>125700</v>
      </c>
    </row>
    <row r="13" spans="1:8">
      <c r="A13" t="s">
        <v>8</v>
      </c>
      <c r="B13" t="s">
        <v>32</v>
      </c>
      <c r="C13" t="s">
        <v>33</v>
      </c>
      <c r="D13" s="2">
        <f>_xlfn.XLOOKUP(C13,SQL!C12:C93,SQL!D12:D93)</f>
        <v>886191068397</v>
      </c>
      <c r="E13" t="s">
        <v>11</v>
      </c>
      <c r="F13" s="1">
        <v>0</v>
      </c>
      <c r="G13" s="1">
        <v>10000</v>
      </c>
      <c r="H13" s="1">
        <v>135700</v>
      </c>
    </row>
    <row r="14" spans="1:8">
      <c r="A14" t="s">
        <v>8</v>
      </c>
      <c r="B14" t="s">
        <v>34</v>
      </c>
      <c r="C14" t="s">
        <v>35</v>
      </c>
      <c r="D14" s="2">
        <f>_xlfn.XLOOKUP(C14,SQL!C13:C94,SQL!D13:D94)</f>
        <v>886191023568</v>
      </c>
      <c r="E14" t="s">
        <v>11</v>
      </c>
      <c r="F14" s="1">
        <v>0</v>
      </c>
      <c r="G14" s="1">
        <v>20000</v>
      </c>
      <c r="H14" s="1">
        <v>155700</v>
      </c>
    </row>
    <row r="15" spans="1:8">
      <c r="A15" t="s">
        <v>8</v>
      </c>
      <c r="B15" t="s">
        <v>36</v>
      </c>
      <c r="C15" t="s">
        <v>37</v>
      </c>
      <c r="D15" s="2">
        <v>876191150774</v>
      </c>
      <c r="E15" t="s">
        <v>11</v>
      </c>
      <c r="F15" s="1">
        <v>0</v>
      </c>
      <c r="G15" s="1">
        <v>25000</v>
      </c>
      <c r="H15" s="1">
        <v>180700</v>
      </c>
    </row>
    <row r="16" spans="1:8">
      <c r="A16" t="s">
        <v>8</v>
      </c>
      <c r="B16" t="s">
        <v>38</v>
      </c>
      <c r="C16" t="s">
        <v>39</v>
      </c>
      <c r="D16" s="2">
        <f>_xlfn.XLOOKUP(C16,SQL!C15:C96,SQL!D15:D96)</f>
        <v>886191425229</v>
      </c>
      <c r="E16" t="s">
        <v>11</v>
      </c>
      <c r="F16" s="1">
        <v>0</v>
      </c>
      <c r="G16" s="1">
        <v>8000</v>
      </c>
      <c r="H16" s="1">
        <v>188700</v>
      </c>
    </row>
    <row r="17" spans="1:8">
      <c r="A17" t="s">
        <v>8</v>
      </c>
      <c r="B17" t="s">
        <v>40</v>
      </c>
      <c r="C17" t="s">
        <v>41</v>
      </c>
      <c r="D17" s="2">
        <f>_xlfn.XLOOKUP(C17,SQL!C16:C97,SQL!D16:D97)</f>
        <v>886190705000</v>
      </c>
      <c r="E17" t="s">
        <v>11</v>
      </c>
      <c r="F17" s="1">
        <v>0</v>
      </c>
      <c r="G17" s="1">
        <v>100000</v>
      </c>
      <c r="H17" s="1">
        <v>288700</v>
      </c>
    </row>
    <row r="18" spans="1:8">
      <c r="A18" t="s">
        <v>8</v>
      </c>
      <c r="B18" t="s">
        <v>42</v>
      </c>
      <c r="C18" t="s">
        <v>43</v>
      </c>
      <c r="D18" s="2">
        <f>_xlfn.XLOOKUP(C18,SQL!C17:C98,SQL!D17:D98)</f>
        <v>886191564001</v>
      </c>
      <c r="E18" t="s">
        <v>11</v>
      </c>
      <c r="F18" s="1">
        <v>0</v>
      </c>
      <c r="G18" s="1">
        <v>15000</v>
      </c>
      <c r="H18" s="1">
        <v>303700</v>
      </c>
    </row>
    <row r="19" spans="1:8">
      <c r="A19" t="s">
        <v>8</v>
      </c>
      <c r="B19" t="s">
        <v>44</v>
      </c>
      <c r="C19" t="s">
        <v>45</v>
      </c>
      <c r="D19" s="2">
        <f>_xlfn.XLOOKUP(C19,SQL!C18:C99,SQL!D18:D99)</f>
        <v>886191364044</v>
      </c>
      <c r="E19" t="s">
        <v>11</v>
      </c>
      <c r="F19" s="1">
        <v>0</v>
      </c>
      <c r="G19" s="1">
        <v>500</v>
      </c>
      <c r="H19" s="1">
        <v>304200</v>
      </c>
    </row>
    <row r="20" spans="1:8">
      <c r="A20" t="s">
        <v>8</v>
      </c>
      <c r="B20" t="s">
        <v>46</v>
      </c>
      <c r="C20" t="s">
        <v>47</v>
      </c>
      <c r="D20" s="2">
        <f>_xlfn.XLOOKUP(C20,SQL!C19:C100,SQL!D19:D100)</f>
        <v>886191081406</v>
      </c>
      <c r="E20" t="s">
        <v>11</v>
      </c>
      <c r="F20" s="1">
        <v>0</v>
      </c>
      <c r="G20" s="1">
        <v>4000</v>
      </c>
      <c r="H20" s="1">
        <v>308200</v>
      </c>
    </row>
    <row r="21" spans="1:8">
      <c r="A21" t="s">
        <v>8</v>
      </c>
      <c r="B21" t="s">
        <v>48</v>
      </c>
      <c r="C21" t="s">
        <v>49</v>
      </c>
      <c r="D21" s="2">
        <f>_xlfn.XLOOKUP(C21,SQL!C20:C101,SQL!D20:D101)</f>
        <v>886191227026</v>
      </c>
      <c r="E21" t="s">
        <v>11</v>
      </c>
      <c r="F21" s="1">
        <v>0</v>
      </c>
      <c r="G21" s="1">
        <v>10000</v>
      </c>
      <c r="H21" s="1">
        <v>318200</v>
      </c>
    </row>
    <row r="22" spans="1:8">
      <c r="A22" t="s">
        <v>8</v>
      </c>
      <c r="B22" t="s">
        <v>50</v>
      </c>
      <c r="C22" t="s">
        <v>51</v>
      </c>
      <c r="D22" s="2">
        <v>886191137279</v>
      </c>
      <c r="E22" t="s">
        <v>11</v>
      </c>
      <c r="F22" s="1">
        <v>0</v>
      </c>
      <c r="G22" s="1">
        <v>12000</v>
      </c>
      <c r="H22" s="1">
        <v>330200</v>
      </c>
    </row>
    <row r="23" spans="1:8">
      <c r="A23" t="s">
        <v>8</v>
      </c>
      <c r="B23" t="s">
        <v>52</v>
      </c>
      <c r="C23" t="s">
        <v>53</v>
      </c>
      <c r="D23" s="2">
        <f>_xlfn.XLOOKUP(C23,SQL!C22:C103,SQL!D22:D103)</f>
        <v>886191416212</v>
      </c>
      <c r="E23" t="s">
        <v>11</v>
      </c>
      <c r="F23" s="1">
        <v>0</v>
      </c>
      <c r="G23" s="1">
        <v>5000</v>
      </c>
      <c r="H23" s="1">
        <v>335200</v>
      </c>
    </row>
    <row r="24" spans="1:8">
      <c r="A24" t="s">
        <v>8</v>
      </c>
      <c r="B24" t="s">
        <v>54</v>
      </c>
      <c r="C24" t="s">
        <v>55</v>
      </c>
      <c r="D24" s="2">
        <f>_xlfn.XLOOKUP(C24,SQL!C23:C104,SQL!D23:D104)</f>
        <v>886191769126</v>
      </c>
      <c r="E24" t="s">
        <v>11</v>
      </c>
      <c r="F24" s="1">
        <v>0</v>
      </c>
      <c r="G24" s="1">
        <v>16638</v>
      </c>
      <c r="H24" s="1">
        <v>351838</v>
      </c>
    </row>
    <row r="25" spans="1:8">
      <c r="A25" t="s">
        <v>8</v>
      </c>
      <c r="B25" t="s">
        <v>56</v>
      </c>
      <c r="C25" t="s">
        <v>57</v>
      </c>
      <c r="D25" s="2">
        <v>886191955665</v>
      </c>
      <c r="E25" t="s">
        <v>11</v>
      </c>
      <c r="F25" s="1">
        <v>0</v>
      </c>
      <c r="G25" s="1">
        <v>30000</v>
      </c>
      <c r="H25" s="1">
        <v>381838</v>
      </c>
    </row>
    <row r="26" spans="1:8">
      <c r="A26" t="s">
        <v>8</v>
      </c>
      <c r="B26" t="s">
        <v>58</v>
      </c>
      <c r="C26" t="s">
        <v>59</v>
      </c>
      <c r="D26" s="2">
        <v>886191117168</v>
      </c>
      <c r="E26" t="s">
        <v>11</v>
      </c>
      <c r="F26" s="1">
        <v>0</v>
      </c>
      <c r="G26" s="1">
        <v>35000</v>
      </c>
      <c r="H26" s="1">
        <v>416838</v>
      </c>
    </row>
    <row r="27" spans="1:8">
      <c r="A27" t="s">
        <v>8</v>
      </c>
      <c r="B27" t="s">
        <v>60</v>
      </c>
      <c r="C27" t="s">
        <v>61</v>
      </c>
      <c r="D27" s="2">
        <f>_xlfn.XLOOKUP(C27,SQL!C26:C107,SQL!D26:D107)</f>
        <v>886191052848</v>
      </c>
      <c r="E27" t="s">
        <v>11</v>
      </c>
      <c r="F27" s="1">
        <v>0</v>
      </c>
      <c r="G27" s="1">
        <v>500</v>
      </c>
      <c r="H27" s="1">
        <v>417338</v>
      </c>
    </row>
    <row r="28" spans="1:8">
      <c r="A28" t="s">
        <v>8</v>
      </c>
      <c r="B28" t="s">
        <v>62</v>
      </c>
      <c r="C28" t="s">
        <v>63</v>
      </c>
      <c r="D28" s="2">
        <f>_xlfn.XLOOKUP(C28,SQL!C27:C108,SQL!D27:D108)</f>
        <v>886191917165</v>
      </c>
      <c r="E28" t="s">
        <v>11</v>
      </c>
      <c r="F28" s="1">
        <v>0</v>
      </c>
      <c r="G28" s="1">
        <v>500</v>
      </c>
      <c r="H28" s="1">
        <v>417838</v>
      </c>
    </row>
    <row r="29" spans="1:8">
      <c r="A29" t="s">
        <v>8</v>
      </c>
      <c r="B29" t="s">
        <v>64</v>
      </c>
      <c r="C29" t="s">
        <v>65</v>
      </c>
      <c r="D29" s="2">
        <f>_xlfn.XLOOKUP(C29,SQL!C28:C109,SQL!D28:D109)</f>
        <v>886191475731</v>
      </c>
      <c r="E29" t="s">
        <v>11</v>
      </c>
      <c r="F29" s="1">
        <v>0</v>
      </c>
      <c r="G29" s="1">
        <v>11000</v>
      </c>
      <c r="H29" s="1">
        <v>428838</v>
      </c>
    </row>
    <row r="30" spans="1:8">
      <c r="A30" t="s">
        <v>8</v>
      </c>
      <c r="B30" t="s">
        <v>66</v>
      </c>
      <c r="C30" t="s">
        <v>67</v>
      </c>
      <c r="D30" s="2">
        <f>_xlfn.XLOOKUP(C30,SQL!C29:C110,SQL!D29:D110)</f>
        <v>886191961212</v>
      </c>
      <c r="E30" t="s">
        <v>11</v>
      </c>
      <c r="F30" s="1">
        <v>0</v>
      </c>
      <c r="G30" s="1">
        <v>500</v>
      </c>
      <c r="H30" s="1">
        <v>429338</v>
      </c>
    </row>
    <row r="31" spans="1:8">
      <c r="A31" t="s">
        <v>8</v>
      </c>
      <c r="B31" t="s">
        <v>68</v>
      </c>
      <c r="C31" t="s">
        <v>69</v>
      </c>
      <c r="D31" s="2">
        <f>_xlfn.XLOOKUP(C31,SQL!C30:C111,SQL!D30:D111)</f>
        <v>886191011317</v>
      </c>
      <c r="E31" t="s">
        <v>11</v>
      </c>
      <c r="F31" s="1">
        <v>0</v>
      </c>
      <c r="G31" s="1">
        <v>5000</v>
      </c>
      <c r="H31" s="1">
        <v>434338</v>
      </c>
    </row>
    <row r="32" spans="1:8">
      <c r="A32" t="s">
        <v>8</v>
      </c>
      <c r="B32" t="s">
        <v>70</v>
      </c>
      <c r="C32" t="s">
        <v>71</v>
      </c>
      <c r="D32" s="2">
        <v>886191826691</v>
      </c>
      <c r="E32" t="s">
        <v>11</v>
      </c>
      <c r="F32" s="1">
        <v>0</v>
      </c>
      <c r="G32" s="1">
        <v>5000</v>
      </c>
      <c r="H32" s="1">
        <v>439338</v>
      </c>
    </row>
    <row r="33" spans="1:8">
      <c r="A33" t="s">
        <v>8</v>
      </c>
      <c r="B33" t="s">
        <v>72</v>
      </c>
      <c r="C33" t="s">
        <v>73</v>
      </c>
      <c r="D33" s="2">
        <v>886191435215</v>
      </c>
      <c r="E33" t="s">
        <v>11</v>
      </c>
      <c r="F33" s="1">
        <v>0</v>
      </c>
      <c r="G33" s="1">
        <v>12000</v>
      </c>
      <c r="H33" s="1">
        <v>451338</v>
      </c>
    </row>
    <row r="34" spans="1:8">
      <c r="A34" t="s">
        <v>8</v>
      </c>
      <c r="B34" t="s">
        <v>74</v>
      </c>
      <c r="C34" t="s">
        <v>75</v>
      </c>
      <c r="D34" s="2">
        <f>_xlfn.XLOOKUP(C34,SQL!C33:C114,SQL!D33:D114)</f>
        <v>886191832911</v>
      </c>
      <c r="E34" t="s">
        <v>11</v>
      </c>
      <c r="F34" s="1">
        <v>0</v>
      </c>
      <c r="G34" s="1">
        <v>500</v>
      </c>
      <c r="H34" s="1">
        <v>451838</v>
      </c>
    </row>
    <row r="35" spans="1:8">
      <c r="A35" t="s">
        <v>8</v>
      </c>
      <c r="B35" t="s">
        <v>76</v>
      </c>
      <c r="C35" t="s">
        <v>77</v>
      </c>
      <c r="D35" s="2">
        <v>886191626524</v>
      </c>
      <c r="E35" t="s">
        <v>11</v>
      </c>
      <c r="F35" s="1">
        <v>0</v>
      </c>
      <c r="G35" s="1">
        <v>500</v>
      </c>
      <c r="H35" s="1">
        <v>452338</v>
      </c>
    </row>
    <row r="36" spans="1:8">
      <c r="A36" t="s">
        <v>8</v>
      </c>
      <c r="B36" t="s">
        <v>78</v>
      </c>
      <c r="C36" t="s">
        <v>79</v>
      </c>
      <c r="D36" s="2">
        <f>_xlfn.XLOOKUP(C36,SQL!C35:C116,SQL!D35:D116)</f>
        <v>886191460117</v>
      </c>
      <c r="E36" t="s">
        <v>11</v>
      </c>
      <c r="F36" s="1">
        <v>0</v>
      </c>
      <c r="G36" s="1">
        <v>5000</v>
      </c>
      <c r="H36" s="1">
        <v>457338</v>
      </c>
    </row>
    <row r="37" spans="1:8">
      <c r="A37" t="s">
        <v>8</v>
      </c>
      <c r="B37" t="s">
        <v>80</v>
      </c>
      <c r="C37" t="s">
        <v>81</v>
      </c>
      <c r="D37" s="2">
        <f>_xlfn.XLOOKUP(C37,SQL!C36:C117,SQL!D36:D117)</f>
        <v>886191980075</v>
      </c>
      <c r="E37" t="s">
        <v>11</v>
      </c>
      <c r="F37" s="1">
        <v>0</v>
      </c>
      <c r="G37" s="1">
        <v>15000</v>
      </c>
      <c r="H37" s="1">
        <v>472338</v>
      </c>
    </row>
    <row r="38" spans="1:8">
      <c r="A38" t="s">
        <v>8</v>
      </c>
      <c r="B38" t="s">
        <v>82</v>
      </c>
      <c r="C38" t="s">
        <v>83</v>
      </c>
      <c r="D38" s="2">
        <f>_xlfn.XLOOKUP(C38,SQL!C37:C118,SQL!D37:D118)</f>
        <v>886191878080</v>
      </c>
      <c r="E38" t="s">
        <v>11</v>
      </c>
      <c r="F38" s="1">
        <v>0</v>
      </c>
      <c r="G38" s="1">
        <v>500</v>
      </c>
      <c r="H38" s="1">
        <v>472838</v>
      </c>
    </row>
    <row r="39" spans="1:8">
      <c r="A39" t="s">
        <v>8</v>
      </c>
      <c r="B39" t="s">
        <v>84</v>
      </c>
      <c r="C39" t="s">
        <v>85</v>
      </c>
      <c r="D39" s="2">
        <v>886191029513</v>
      </c>
      <c r="E39" t="s">
        <v>11</v>
      </c>
      <c r="F39" s="1">
        <v>0</v>
      </c>
      <c r="G39" s="1">
        <v>500</v>
      </c>
      <c r="H39" s="1">
        <v>473338</v>
      </c>
    </row>
    <row r="40" spans="1:8">
      <c r="A40" t="s">
        <v>8</v>
      </c>
      <c r="B40" t="s">
        <v>86</v>
      </c>
      <c r="C40" t="s">
        <v>87</v>
      </c>
      <c r="D40" s="2">
        <v>886191214416</v>
      </c>
      <c r="E40" t="s">
        <v>11</v>
      </c>
      <c r="F40" s="1">
        <v>0</v>
      </c>
      <c r="G40" s="1">
        <v>10000</v>
      </c>
      <c r="H40" s="1">
        <v>483338</v>
      </c>
    </row>
    <row r="41" spans="1:8">
      <c r="A41" t="s">
        <v>8</v>
      </c>
      <c r="B41" t="s">
        <v>88</v>
      </c>
      <c r="C41" t="s">
        <v>89</v>
      </c>
      <c r="D41" s="2">
        <f>_xlfn.XLOOKUP(C41,SQL!C40:C121,SQL!D40:D121)</f>
        <v>886191713114</v>
      </c>
      <c r="E41" t="s">
        <v>11</v>
      </c>
      <c r="F41" s="1">
        <v>0</v>
      </c>
      <c r="G41" s="1">
        <v>10000</v>
      </c>
      <c r="H41" s="1">
        <v>493338</v>
      </c>
    </row>
    <row r="42" spans="1:8">
      <c r="A42" t="s">
        <v>8</v>
      </c>
      <c r="B42" t="s">
        <v>90</v>
      </c>
      <c r="C42" t="s">
        <v>91</v>
      </c>
      <c r="D42" s="2">
        <v>886191471167</v>
      </c>
      <c r="E42" t="s">
        <v>11</v>
      </c>
      <c r="F42" s="1">
        <v>0</v>
      </c>
      <c r="G42" s="1">
        <v>9000</v>
      </c>
      <c r="H42" s="1">
        <v>502338</v>
      </c>
    </row>
    <row r="43" spans="1:8">
      <c r="A43" t="s">
        <v>8</v>
      </c>
      <c r="B43" t="s">
        <v>92</v>
      </c>
      <c r="C43" t="s">
        <v>93</v>
      </c>
      <c r="D43" s="2">
        <v>886191957099</v>
      </c>
      <c r="E43" t="s">
        <v>11</v>
      </c>
      <c r="F43" s="1">
        <v>0</v>
      </c>
      <c r="G43" s="1">
        <v>5000</v>
      </c>
      <c r="H43" s="1">
        <v>507338</v>
      </c>
    </row>
    <row r="44" spans="1:8">
      <c r="A44" t="s">
        <v>8</v>
      </c>
      <c r="B44" t="s">
        <v>94</v>
      </c>
      <c r="C44" t="s">
        <v>95</v>
      </c>
      <c r="D44" s="2">
        <v>886191841736</v>
      </c>
      <c r="E44" t="s">
        <v>11</v>
      </c>
      <c r="F44" s="1">
        <v>0</v>
      </c>
      <c r="G44" s="1">
        <v>5000</v>
      </c>
      <c r="H44" s="1">
        <v>512338</v>
      </c>
    </row>
    <row r="45" spans="1:8">
      <c r="A45" t="s">
        <v>8</v>
      </c>
      <c r="B45" t="s">
        <v>96</v>
      </c>
      <c r="C45" t="s">
        <v>97</v>
      </c>
      <c r="D45" s="2">
        <f>_xlfn.XLOOKUP(C45,SQL!C44:C125,SQL!D44:D125)</f>
        <v>886191558860</v>
      </c>
      <c r="E45" t="s">
        <v>11</v>
      </c>
      <c r="F45" s="1">
        <v>0</v>
      </c>
      <c r="G45" s="1">
        <v>6000</v>
      </c>
      <c r="H45" s="1">
        <v>518338</v>
      </c>
    </row>
    <row r="46" spans="1:8">
      <c r="A46" t="s">
        <v>8</v>
      </c>
      <c r="B46" t="s">
        <v>98</v>
      </c>
      <c r="C46" t="s">
        <v>99</v>
      </c>
      <c r="D46" s="2">
        <f>_xlfn.XLOOKUP(C46,SQL!C45:C126,SQL!D45:D126)</f>
        <v>886191943122</v>
      </c>
      <c r="E46" t="s">
        <v>11</v>
      </c>
      <c r="F46" s="1">
        <v>0</v>
      </c>
      <c r="G46" s="1">
        <v>8000</v>
      </c>
      <c r="H46" s="1">
        <v>526338</v>
      </c>
    </row>
    <row r="47" spans="1:8">
      <c r="A47" t="s">
        <v>8</v>
      </c>
      <c r="B47" t="s">
        <v>100</v>
      </c>
      <c r="C47" t="s">
        <v>101</v>
      </c>
      <c r="D47" s="2">
        <v>886191959428</v>
      </c>
      <c r="E47" t="s">
        <v>11</v>
      </c>
      <c r="F47" s="1">
        <v>0</v>
      </c>
      <c r="G47" s="1">
        <v>10000</v>
      </c>
      <c r="H47" s="1">
        <v>536338</v>
      </c>
    </row>
    <row r="48" spans="1:8">
      <c r="A48" t="s">
        <v>8</v>
      </c>
      <c r="B48" t="s">
        <v>102</v>
      </c>
      <c r="C48" t="s">
        <v>103</v>
      </c>
      <c r="D48" s="2">
        <v>886191051210</v>
      </c>
      <c r="E48" t="s">
        <v>11</v>
      </c>
      <c r="F48" s="1">
        <v>0</v>
      </c>
      <c r="G48" s="1">
        <v>500</v>
      </c>
      <c r="H48" s="1">
        <v>536838</v>
      </c>
    </row>
    <row r="49" spans="1:8">
      <c r="A49" t="s">
        <v>104</v>
      </c>
      <c r="B49" t="s">
        <v>105</v>
      </c>
      <c r="C49" t="s">
        <v>106</v>
      </c>
      <c r="D49" s="2">
        <f>_xlfn.XLOOKUP(C49,SQL!C48:C129,SQL!D48:D129)</f>
        <v>886192273518</v>
      </c>
      <c r="E49" t="s">
        <v>107</v>
      </c>
      <c r="F49" s="1">
        <v>0</v>
      </c>
      <c r="G49" s="1">
        <v>15000</v>
      </c>
      <c r="H49" s="1">
        <v>551838</v>
      </c>
    </row>
    <row r="50" spans="1:8">
      <c r="A50" t="s">
        <v>104</v>
      </c>
      <c r="B50" t="s">
        <v>108</v>
      </c>
      <c r="C50" t="s">
        <v>109</v>
      </c>
      <c r="D50" s="2">
        <v>876192625245</v>
      </c>
      <c r="E50" t="s">
        <v>107</v>
      </c>
      <c r="F50" s="1">
        <v>0</v>
      </c>
      <c r="G50" s="1">
        <v>46000</v>
      </c>
      <c r="H50" s="1">
        <v>63000</v>
      </c>
    </row>
    <row r="51" spans="1:8">
      <c r="A51" t="s">
        <v>104</v>
      </c>
      <c r="B51" t="s">
        <v>110</v>
      </c>
      <c r="C51" t="s">
        <v>111</v>
      </c>
      <c r="D51" s="2">
        <v>886192324086</v>
      </c>
      <c r="E51" t="s">
        <v>107</v>
      </c>
      <c r="F51" s="1">
        <v>0</v>
      </c>
      <c r="G51" s="1">
        <v>10000</v>
      </c>
      <c r="H51" s="1">
        <v>73000</v>
      </c>
    </row>
    <row r="52" spans="1:8">
      <c r="A52" t="s">
        <v>104</v>
      </c>
      <c r="B52" t="s">
        <v>112</v>
      </c>
      <c r="C52" t="s">
        <v>113</v>
      </c>
      <c r="D52" s="2">
        <f>_xlfn.XLOOKUP(C52,SQL!C51:C132,SQL!D51:D132)</f>
        <v>886192975044</v>
      </c>
      <c r="E52" t="s">
        <v>107</v>
      </c>
      <c r="F52" s="1">
        <v>0</v>
      </c>
      <c r="G52" s="1">
        <v>9000</v>
      </c>
      <c r="H52" s="1">
        <v>82000</v>
      </c>
    </row>
    <row r="53" spans="1:8">
      <c r="A53" t="s">
        <v>104</v>
      </c>
      <c r="B53" t="s">
        <v>114</v>
      </c>
      <c r="C53" t="s">
        <v>115</v>
      </c>
      <c r="D53" s="2">
        <v>886192384503</v>
      </c>
      <c r="E53" t="s">
        <v>107</v>
      </c>
      <c r="F53" s="1">
        <v>0</v>
      </c>
      <c r="G53" s="1">
        <v>10000</v>
      </c>
      <c r="H53" s="1">
        <v>92000</v>
      </c>
    </row>
    <row r="54" spans="1:8">
      <c r="A54" t="s">
        <v>104</v>
      </c>
      <c r="B54" t="s">
        <v>116</v>
      </c>
      <c r="C54" t="s">
        <v>117</v>
      </c>
      <c r="D54" s="2">
        <v>886192193653</v>
      </c>
      <c r="E54" t="s">
        <v>107</v>
      </c>
      <c r="F54" s="1">
        <v>0</v>
      </c>
      <c r="G54" s="1">
        <v>5000</v>
      </c>
      <c r="H54" s="1">
        <v>97000</v>
      </c>
    </row>
    <row r="55" spans="1:8">
      <c r="A55" t="s">
        <v>104</v>
      </c>
      <c r="B55" t="s">
        <v>118</v>
      </c>
      <c r="C55" t="s">
        <v>119</v>
      </c>
      <c r="D55" s="2">
        <f>_xlfn.XLOOKUP(C55,SQL!C54:C135,SQL!D54:D135)</f>
        <v>886192518829</v>
      </c>
      <c r="E55" t="s">
        <v>107</v>
      </c>
      <c r="F55" s="1">
        <v>0</v>
      </c>
      <c r="G55" s="1">
        <v>28000</v>
      </c>
      <c r="H55" s="1">
        <v>125000</v>
      </c>
    </row>
    <row r="56" spans="1:8">
      <c r="A56" t="s">
        <v>104</v>
      </c>
      <c r="B56" t="s">
        <v>120</v>
      </c>
      <c r="C56" t="s">
        <v>121</v>
      </c>
      <c r="D56" s="2">
        <v>886192287977</v>
      </c>
      <c r="E56" t="s">
        <v>107</v>
      </c>
      <c r="F56" s="1">
        <v>0</v>
      </c>
      <c r="G56" s="1">
        <v>500</v>
      </c>
      <c r="H56" s="1">
        <v>125500</v>
      </c>
    </row>
    <row r="57" spans="1:8">
      <c r="A57" t="s">
        <v>104</v>
      </c>
      <c r="B57" t="s">
        <v>122</v>
      </c>
      <c r="C57" t="s">
        <v>123</v>
      </c>
      <c r="D57" s="2">
        <f>_xlfn.XLOOKUP(C57,SQL!C56:C137,SQL!D56:D137)</f>
        <v>886192182211</v>
      </c>
      <c r="E57" t="s">
        <v>107</v>
      </c>
      <c r="F57" s="1">
        <v>0</v>
      </c>
      <c r="G57" s="1">
        <v>15000</v>
      </c>
      <c r="H57" s="1">
        <v>140500</v>
      </c>
    </row>
    <row r="58" spans="1:8">
      <c r="A58" t="s">
        <v>104</v>
      </c>
      <c r="B58" t="s">
        <v>124</v>
      </c>
      <c r="C58" t="s">
        <v>125</v>
      </c>
      <c r="D58" s="2">
        <f>_xlfn.XLOOKUP(C58,SQL!C57:C138,SQL!D57:D138)</f>
        <v>886192425252</v>
      </c>
      <c r="E58" t="s">
        <v>107</v>
      </c>
      <c r="F58" s="1">
        <v>0</v>
      </c>
      <c r="G58" s="1">
        <v>3000</v>
      </c>
      <c r="H58" s="1">
        <v>143500</v>
      </c>
    </row>
    <row r="59" spans="1:8">
      <c r="A59" t="s">
        <v>104</v>
      </c>
      <c r="B59" t="s">
        <v>126</v>
      </c>
      <c r="C59" t="s">
        <v>127</v>
      </c>
      <c r="D59" s="2">
        <v>886192959621</v>
      </c>
      <c r="E59" t="s">
        <v>107</v>
      </c>
      <c r="F59" s="1">
        <v>0</v>
      </c>
      <c r="G59" s="1">
        <v>9000</v>
      </c>
      <c r="H59" s="1">
        <v>152500</v>
      </c>
    </row>
    <row r="60" spans="1:8">
      <c r="A60" t="s">
        <v>104</v>
      </c>
      <c r="B60" t="s">
        <v>128</v>
      </c>
      <c r="C60" t="s">
        <v>129</v>
      </c>
      <c r="D60" s="2">
        <f>_xlfn.XLOOKUP(C60,SQL!C59:C140,SQL!D59:D140)</f>
        <v>886192979115</v>
      </c>
      <c r="E60" t="s">
        <v>107</v>
      </c>
      <c r="F60" s="1">
        <v>0</v>
      </c>
      <c r="G60" s="1">
        <v>500</v>
      </c>
      <c r="H60" s="1">
        <v>153000</v>
      </c>
    </row>
    <row r="61" spans="1:8">
      <c r="A61" t="s">
        <v>104</v>
      </c>
      <c r="B61" t="s">
        <v>130</v>
      </c>
      <c r="C61" t="s">
        <v>131</v>
      </c>
      <c r="D61" s="2">
        <v>886192747643</v>
      </c>
      <c r="E61" t="s">
        <v>107</v>
      </c>
      <c r="F61" s="1">
        <v>0</v>
      </c>
      <c r="G61" s="1">
        <v>24000</v>
      </c>
      <c r="H61" s="1">
        <v>177000</v>
      </c>
    </row>
    <row r="62" spans="1:8">
      <c r="A62" t="s">
        <v>104</v>
      </c>
      <c r="B62" t="s">
        <v>132</v>
      </c>
      <c r="C62" t="s">
        <v>133</v>
      </c>
      <c r="D62" s="2">
        <f>_xlfn.XLOOKUP(C62,SQL!C61:C142,SQL!D61:D142)</f>
        <v>886192816757</v>
      </c>
      <c r="E62" t="s">
        <v>107</v>
      </c>
      <c r="F62" s="1">
        <v>0</v>
      </c>
      <c r="G62" s="1">
        <v>25000</v>
      </c>
      <c r="H62" s="1">
        <v>202000</v>
      </c>
    </row>
    <row r="63" spans="1:8">
      <c r="A63" t="s">
        <v>104</v>
      </c>
      <c r="B63" t="s">
        <v>134</v>
      </c>
      <c r="C63" t="s">
        <v>135</v>
      </c>
      <c r="D63" s="2">
        <v>886192166340</v>
      </c>
      <c r="E63" t="s">
        <v>107</v>
      </c>
      <c r="F63" s="1">
        <v>0</v>
      </c>
      <c r="G63" s="1">
        <v>20000</v>
      </c>
      <c r="H63" s="1">
        <v>222000</v>
      </c>
    </row>
    <row r="64" spans="1:8">
      <c r="A64" t="s">
        <v>104</v>
      </c>
      <c r="B64" t="s">
        <v>136</v>
      </c>
      <c r="C64" t="s">
        <v>137</v>
      </c>
      <c r="D64" s="2">
        <f>_xlfn.XLOOKUP(C64,SQL!C63:C144,SQL!D63:D144)</f>
        <v>886192015840</v>
      </c>
      <c r="E64" t="s">
        <v>107</v>
      </c>
      <c r="F64" s="1">
        <v>0</v>
      </c>
      <c r="G64" s="1">
        <v>500</v>
      </c>
      <c r="H64" s="1">
        <v>222500</v>
      </c>
    </row>
    <row r="65" spans="1:8">
      <c r="A65" t="s">
        <v>104</v>
      </c>
      <c r="B65" t="s">
        <v>138</v>
      </c>
      <c r="C65" t="s">
        <v>139</v>
      </c>
      <c r="D65" s="2">
        <f>_xlfn.XLOOKUP(C65,SQL!C64:C145,SQL!D64:D145)</f>
        <v>886192494471</v>
      </c>
      <c r="E65" t="s">
        <v>107</v>
      </c>
      <c r="F65" s="1">
        <v>0</v>
      </c>
      <c r="G65" s="1">
        <v>500</v>
      </c>
      <c r="H65" s="1">
        <v>223000</v>
      </c>
    </row>
    <row r="66" spans="1:8">
      <c r="A66" t="s">
        <v>104</v>
      </c>
      <c r="B66" t="s">
        <v>140</v>
      </c>
      <c r="C66" t="s">
        <v>141</v>
      </c>
      <c r="D66" s="2">
        <v>886192912204</v>
      </c>
      <c r="E66" t="s">
        <v>107</v>
      </c>
      <c r="F66" s="1">
        <v>0</v>
      </c>
      <c r="G66" s="1">
        <v>8000</v>
      </c>
      <c r="H66" s="1">
        <v>231000</v>
      </c>
    </row>
    <row r="67" spans="1:8">
      <c r="A67" t="s">
        <v>104</v>
      </c>
      <c r="B67" t="s">
        <v>142</v>
      </c>
      <c r="C67" t="s">
        <v>143</v>
      </c>
      <c r="D67" s="2">
        <v>886192147684</v>
      </c>
      <c r="E67" t="s">
        <v>107</v>
      </c>
      <c r="F67" s="1">
        <v>0</v>
      </c>
      <c r="G67" s="1">
        <v>12000</v>
      </c>
      <c r="H67" s="1">
        <v>243000</v>
      </c>
    </row>
    <row r="68" spans="1:8">
      <c r="A68" t="s">
        <v>104</v>
      </c>
      <c r="B68" t="s">
        <v>144</v>
      </c>
      <c r="C68" t="s">
        <v>145</v>
      </c>
      <c r="D68" s="2">
        <v>886192798283</v>
      </c>
      <c r="E68" t="s">
        <v>107</v>
      </c>
      <c r="F68" s="1">
        <v>0</v>
      </c>
      <c r="G68" s="1">
        <v>24000</v>
      </c>
      <c r="H68" s="1">
        <v>267000</v>
      </c>
    </row>
    <row r="69" spans="1:8">
      <c r="A69" t="s">
        <v>104</v>
      </c>
      <c r="B69" t="s">
        <v>146</v>
      </c>
      <c r="C69" t="s">
        <v>147</v>
      </c>
      <c r="D69" s="2">
        <v>886192148356</v>
      </c>
      <c r="E69" t="s">
        <v>107</v>
      </c>
      <c r="F69" s="1">
        <v>0</v>
      </c>
      <c r="G69" s="1">
        <v>3000</v>
      </c>
      <c r="H69" s="1">
        <v>270000</v>
      </c>
    </row>
    <row r="70" spans="1:8">
      <c r="A70" t="s">
        <v>104</v>
      </c>
      <c r="B70" t="s">
        <v>148</v>
      </c>
      <c r="C70" t="s">
        <v>149</v>
      </c>
      <c r="D70" s="2">
        <v>886192432837</v>
      </c>
      <c r="E70" t="s">
        <v>107</v>
      </c>
      <c r="F70" s="1">
        <v>0</v>
      </c>
      <c r="G70" s="1">
        <v>500</v>
      </c>
      <c r="H70" s="1">
        <v>270500</v>
      </c>
    </row>
    <row r="71" spans="1:8">
      <c r="A71" t="s">
        <v>150</v>
      </c>
      <c r="B71" t="s">
        <v>151</v>
      </c>
      <c r="C71" t="s">
        <v>152</v>
      </c>
      <c r="D71" s="2">
        <v>886193400739</v>
      </c>
      <c r="E71" t="s">
        <v>153</v>
      </c>
      <c r="F71" s="1">
        <v>0</v>
      </c>
      <c r="G71" s="1">
        <v>10000</v>
      </c>
      <c r="H71" s="1">
        <v>280500</v>
      </c>
    </row>
    <row r="72" spans="1:8">
      <c r="A72" t="s">
        <v>150</v>
      </c>
      <c r="B72" t="s">
        <v>154</v>
      </c>
      <c r="C72" t="s">
        <v>155</v>
      </c>
      <c r="D72" s="2">
        <v>886193102191</v>
      </c>
      <c r="E72" t="s">
        <v>153</v>
      </c>
      <c r="F72" s="1">
        <v>0</v>
      </c>
      <c r="G72" s="1">
        <v>10000</v>
      </c>
      <c r="H72" s="1">
        <v>290500</v>
      </c>
    </row>
    <row r="73" spans="1:8">
      <c r="A73" t="s">
        <v>150</v>
      </c>
      <c r="B73" t="s">
        <v>156</v>
      </c>
      <c r="C73" t="s">
        <v>157</v>
      </c>
      <c r="D73" s="2">
        <v>886193580866</v>
      </c>
      <c r="E73" t="s">
        <v>153</v>
      </c>
      <c r="F73" s="1">
        <v>0</v>
      </c>
      <c r="G73" s="1">
        <v>8000</v>
      </c>
      <c r="H73" s="1">
        <v>298500</v>
      </c>
    </row>
    <row r="74" spans="1:8">
      <c r="A74" t="s">
        <v>150</v>
      </c>
      <c r="B74" t="s">
        <v>158</v>
      </c>
      <c r="C74" t="s">
        <v>159</v>
      </c>
      <c r="D74" s="2">
        <v>886193544545</v>
      </c>
      <c r="E74" t="s">
        <v>153</v>
      </c>
      <c r="F74" s="1">
        <v>0</v>
      </c>
      <c r="G74" s="1">
        <v>15000</v>
      </c>
      <c r="H74" s="1">
        <v>313500</v>
      </c>
    </row>
    <row r="75" spans="1:8">
      <c r="A75" t="s">
        <v>150</v>
      </c>
      <c r="B75" t="s">
        <v>160</v>
      </c>
      <c r="C75" t="s">
        <v>161</v>
      </c>
      <c r="D75" s="2">
        <v>886193906005</v>
      </c>
      <c r="E75" t="s">
        <v>153</v>
      </c>
      <c r="F75" s="1">
        <v>0</v>
      </c>
      <c r="G75" s="1">
        <v>100000</v>
      </c>
      <c r="H75" s="1">
        <v>413500</v>
      </c>
    </row>
    <row r="76" spans="1:8">
      <c r="A76" t="s">
        <v>150</v>
      </c>
      <c r="B76" t="s">
        <v>162</v>
      </c>
      <c r="C76" t="s">
        <v>163</v>
      </c>
      <c r="D76" s="2">
        <v>886193253774</v>
      </c>
      <c r="E76" t="s">
        <v>153</v>
      </c>
      <c r="F76" s="1">
        <v>0</v>
      </c>
      <c r="G76" s="1">
        <v>3000</v>
      </c>
      <c r="H76" s="1">
        <v>416500</v>
      </c>
    </row>
    <row r="77" spans="1:8">
      <c r="A77" t="s">
        <v>150</v>
      </c>
      <c r="B77" t="s">
        <v>164</v>
      </c>
      <c r="C77" t="s">
        <v>165</v>
      </c>
      <c r="D77" s="2">
        <v>886193811085</v>
      </c>
      <c r="E77" t="s">
        <v>153</v>
      </c>
      <c r="F77" s="1">
        <v>0</v>
      </c>
      <c r="G77" s="1">
        <v>21000</v>
      </c>
      <c r="H77" s="1">
        <v>437500</v>
      </c>
    </row>
    <row r="78" spans="1:8">
      <c r="A78" t="s">
        <v>150</v>
      </c>
      <c r="B78" t="s">
        <v>166</v>
      </c>
      <c r="C78" t="s">
        <v>167</v>
      </c>
      <c r="D78" s="2">
        <v>886193934780</v>
      </c>
      <c r="E78" t="s">
        <v>153</v>
      </c>
      <c r="F78" s="1">
        <v>0</v>
      </c>
      <c r="G78" s="1">
        <v>30000</v>
      </c>
      <c r="H78" s="1">
        <v>467500</v>
      </c>
    </row>
    <row r="79" spans="1:8">
      <c r="A79" t="s">
        <v>150</v>
      </c>
      <c r="B79" t="s">
        <v>168</v>
      </c>
      <c r="C79" t="s">
        <v>169</v>
      </c>
      <c r="D79" s="2">
        <v>886193529086</v>
      </c>
      <c r="E79" t="s">
        <v>153</v>
      </c>
      <c r="F79" s="1">
        <v>0</v>
      </c>
      <c r="G79" s="1">
        <v>10000</v>
      </c>
      <c r="H79" s="1">
        <v>477500</v>
      </c>
    </row>
    <row r="80" spans="1:8">
      <c r="A80" t="s">
        <v>150</v>
      </c>
      <c r="B80" t="s">
        <v>170</v>
      </c>
      <c r="C80" t="s">
        <v>171</v>
      </c>
      <c r="D80" s="2">
        <v>886193878314</v>
      </c>
      <c r="E80" t="s">
        <v>153</v>
      </c>
      <c r="F80" s="1">
        <v>0</v>
      </c>
      <c r="G80" s="1">
        <v>30000</v>
      </c>
      <c r="H80" s="1">
        <v>239000</v>
      </c>
    </row>
    <row r="81" spans="1:8">
      <c r="A81" t="s">
        <v>150</v>
      </c>
      <c r="B81" t="s">
        <v>172</v>
      </c>
      <c r="C81" t="s">
        <v>173</v>
      </c>
      <c r="D81" s="2">
        <v>886193393344</v>
      </c>
      <c r="E81" t="s">
        <v>153</v>
      </c>
      <c r="F81" s="1">
        <v>0</v>
      </c>
      <c r="G81" s="1">
        <v>15000</v>
      </c>
      <c r="H81" s="1">
        <v>254000</v>
      </c>
    </row>
    <row r="82" spans="1:8">
      <c r="A82" t="s">
        <v>150</v>
      </c>
      <c r="B82" t="s">
        <v>174</v>
      </c>
      <c r="C82" t="s">
        <v>175</v>
      </c>
      <c r="D82" s="2">
        <v>886193008042</v>
      </c>
      <c r="E82" t="s">
        <v>153</v>
      </c>
      <c r="F82" s="1">
        <v>0</v>
      </c>
      <c r="G82" s="1">
        <v>10000</v>
      </c>
      <c r="H82" s="1">
        <v>264000</v>
      </c>
    </row>
    <row r="83" spans="1:8">
      <c r="A83" t="s">
        <v>150</v>
      </c>
      <c r="B83" t="s">
        <v>176</v>
      </c>
      <c r="C83" t="s">
        <v>177</v>
      </c>
      <c r="D83" s="2">
        <v>886193082319</v>
      </c>
      <c r="E83" t="s">
        <v>153</v>
      </c>
      <c r="F83" s="1">
        <v>0</v>
      </c>
      <c r="G83" s="1">
        <v>15000</v>
      </c>
      <c r="H83" s="1">
        <v>279000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82"/>
  <sheetViews>
    <sheetView topLeftCell="A33" workbookViewId="0">
      <selection activeCell="D34" sqref="D34"/>
    </sheetView>
  </sheetViews>
  <sheetFormatPr defaultRowHeight="14.45"/>
  <cols>
    <col min="3" max="3" width="21.42578125" customWidth="1"/>
    <col min="4" max="4" width="12.85546875" bestFit="1" customWidth="1"/>
  </cols>
  <sheetData>
    <row r="1" spans="3:4">
      <c r="C1">
        <v>20144510487</v>
      </c>
      <c r="D1" s="2">
        <v>876191150774</v>
      </c>
    </row>
    <row r="2" spans="3:4">
      <c r="C2" t="s">
        <v>135</v>
      </c>
      <c r="D2" s="2">
        <v>886192166340</v>
      </c>
    </row>
    <row r="3" spans="3:4">
      <c r="C3" t="s">
        <v>51</v>
      </c>
      <c r="D3" s="2">
        <v>886191137279</v>
      </c>
    </row>
    <row r="4" spans="3:4">
      <c r="C4" t="s">
        <v>57</v>
      </c>
      <c r="D4" s="2">
        <v>886191955665</v>
      </c>
    </row>
    <row r="5" spans="3:4">
      <c r="C5" t="s">
        <v>91</v>
      </c>
      <c r="D5" s="2">
        <v>886191471167</v>
      </c>
    </row>
    <row r="6" spans="3:4">
      <c r="C6" t="s">
        <v>157</v>
      </c>
      <c r="D6" s="2">
        <v>886193580866</v>
      </c>
    </row>
    <row r="7" spans="3:4">
      <c r="C7" t="s">
        <v>27</v>
      </c>
      <c r="D7" s="2">
        <v>886191740834</v>
      </c>
    </row>
    <row r="8" spans="3:4">
      <c r="C8" t="s">
        <v>59</v>
      </c>
      <c r="D8" s="2">
        <v>886191117168</v>
      </c>
    </row>
    <row r="9" spans="3:4">
      <c r="C9" t="s">
        <v>169</v>
      </c>
      <c r="D9" s="2">
        <v>886193529086</v>
      </c>
    </row>
    <row r="10" spans="3:4">
      <c r="C10" t="s">
        <v>159</v>
      </c>
      <c r="D10" s="2">
        <v>886193544545</v>
      </c>
    </row>
    <row r="11" spans="3:4">
      <c r="C11" t="s">
        <v>121</v>
      </c>
      <c r="D11" s="2">
        <v>886192287977</v>
      </c>
    </row>
    <row r="12" spans="3:4">
      <c r="C12" t="s">
        <v>141</v>
      </c>
      <c r="D12" s="2">
        <v>886192912204</v>
      </c>
    </row>
    <row r="13" spans="3:4">
      <c r="C13" t="s">
        <v>161</v>
      </c>
      <c r="D13" s="2">
        <v>886193906005</v>
      </c>
    </row>
    <row r="14" spans="3:4">
      <c r="C14" t="s">
        <v>71</v>
      </c>
      <c r="D14" s="2">
        <v>886191826691</v>
      </c>
    </row>
    <row r="15" spans="3:4">
      <c r="C15" t="s">
        <v>147</v>
      </c>
      <c r="D15" s="2">
        <v>886192148356</v>
      </c>
    </row>
    <row r="16" spans="3:4">
      <c r="C16" t="s">
        <v>35</v>
      </c>
      <c r="D16" s="2">
        <v>886191023568</v>
      </c>
    </row>
    <row r="17" spans="3:4">
      <c r="C17" t="s">
        <v>87</v>
      </c>
      <c r="D17" s="2">
        <v>886191214416</v>
      </c>
    </row>
    <row r="18" spans="3:4">
      <c r="C18" t="s">
        <v>43</v>
      </c>
      <c r="D18" s="2">
        <v>886191564001</v>
      </c>
    </row>
    <row r="19" spans="3:4">
      <c r="C19" t="s">
        <v>45</v>
      </c>
      <c r="D19" s="2">
        <v>886191364044</v>
      </c>
    </row>
    <row r="20" spans="3:4">
      <c r="C20" t="s">
        <v>93</v>
      </c>
      <c r="D20" s="2">
        <v>886191957099</v>
      </c>
    </row>
    <row r="21" spans="3:4">
      <c r="C21" t="s">
        <v>131</v>
      </c>
      <c r="D21" s="2">
        <v>886192747643</v>
      </c>
    </row>
    <row r="22" spans="3:4">
      <c r="C22" t="s">
        <v>171</v>
      </c>
      <c r="D22" s="2">
        <v>886193878314</v>
      </c>
    </row>
    <row r="23" spans="3:4">
      <c r="C23" t="s">
        <v>29</v>
      </c>
      <c r="D23" s="2">
        <v>886191418454</v>
      </c>
    </row>
    <row r="24" spans="3:4">
      <c r="C24" t="s">
        <v>25</v>
      </c>
      <c r="D24" s="2">
        <v>886191631303</v>
      </c>
    </row>
    <row r="25" spans="3:4">
      <c r="C25" t="s">
        <v>77</v>
      </c>
      <c r="D25" s="2">
        <v>886191626524</v>
      </c>
    </row>
    <row r="26" spans="3:4">
      <c r="C26" t="s">
        <v>145</v>
      </c>
      <c r="D26" s="2">
        <v>886192798283</v>
      </c>
    </row>
    <row r="27" spans="3:4">
      <c r="C27" t="s">
        <v>85</v>
      </c>
      <c r="D27" s="2">
        <v>886191029513</v>
      </c>
    </row>
    <row r="28" spans="3:4">
      <c r="C28" t="s">
        <v>111</v>
      </c>
      <c r="D28" s="2">
        <v>886192324086</v>
      </c>
    </row>
    <row r="29" spans="3:4">
      <c r="C29" t="s">
        <v>73</v>
      </c>
      <c r="D29" s="2">
        <v>886191435215</v>
      </c>
    </row>
    <row r="30" spans="3:4">
      <c r="C30" t="s">
        <v>173</v>
      </c>
      <c r="D30" s="2">
        <v>886193393344</v>
      </c>
    </row>
    <row r="31" spans="3:4">
      <c r="C31" t="s">
        <v>63</v>
      </c>
      <c r="D31" s="2">
        <v>886191917165</v>
      </c>
    </row>
    <row r="32" spans="3:4">
      <c r="C32" t="s">
        <v>115</v>
      </c>
      <c r="D32" s="2">
        <v>886192384503</v>
      </c>
    </row>
    <row r="33" spans="3:4">
      <c r="C33" t="s">
        <v>152</v>
      </c>
      <c r="D33" s="2">
        <v>886193400739</v>
      </c>
    </row>
    <row r="34" spans="3:4">
      <c r="C34" t="s">
        <v>177</v>
      </c>
      <c r="D34" s="2">
        <v>886193082319</v>
      </c>
    </row>
    <row r="35" spans="3:4">
      <c r="C35" t="s">
        <v>33</v>
      </c>
      <c r="D35" s="2">
        <v>886191068397</v>
      </c>
    </row>
    <row r="36" spans="3:4">
      <c r="C36" t="s">
        <v>95</v>
      </c>
      <c r="D36" s="2">
        <v>886191841736</v>
      </c>
    </row>
    <row r="37" spans="3:4">
      <c r="C37" t="s">
        <v>10</v>
      </c>
      <c r="D37" s="2">
        <v>886191787824</v>
      </c>
    </row>
    <row r="38" spans="3:4">
      <c r="C38" t="s">
        <v>13</v>
      </c>
      <c r="D38" s="2">
        <v>886191893173</v>
      </c>
    </row>
    <row r="39" spans="3:4">
      <c r="C39" t="s">
        <v>17</v>
      </c>
      <c r="D39" s="2">
        <v>886191044640</v>
      </c>
    </row>
    <row r="40" spans="3:4">
      <c r="C40" t="s">
        <v>167</v>
      </c>
      <c r="D40" s="2">
        <v>886193934780</v>
      </c>
    </row>
    <row r="41" spans="3:4">
      <c r="C41" t="s">
        <v>109</v>
      </c>
      <c r="D41" s="2">
        <v>876192625245</v>
      </c>
    </row>
    <row r="42" spans="3:4">
      <c r="C42" t="s">
        <v>103</v>
      </c>
      <c r="D42" s="2">
        <v>886191051210</v>
      </c>
    </row>
    <row r="43" spans="3:4">
      <c r="C43" t="s">
        <v>127</v>
      </c>
      <c r="D43" s="2">
        <v>886192959621</v>
      </c>
    </row>
    <row r="44" spans="3:4">
      <c r="C44" t="s">
        <v>31</v>
      </c>
      <c r="D44" s="2">
        <v>876191412298</v>
      </c>
    </row>
    <row r="45" spans="3:4">
      <c r="C45" t="s">
        <v>101</v>
      </c>
      <c r="D45" s="2">
        <v>886191959428</v>
      </c>
    </row>
    <row r="46" spans="3:4">
      <c r="C46" t="s">
        <v>155</v>
      </c>
      <c r="D46" s="2">
        <v>886193102191</v>
      </c>
    </row>
    <row r="47" spans="3:4">
      <c r="C47" t="s">
        <v>39</v>
      </c>
      <c r="D47" s="2">
        <v>886191425229</v>
      </c>
    </row>
    <row r="48" spans="3:4">
      <c r="C48" t="s">
        <v>19</v>
      </c>
      <c r="D48" s="2">
        <v>886191102776</v>
      </c>
    </row>
    <row r="49" spans="3:4">
      <c r="C49" t="s">
        <v>175</v>
      </c>
      <c r="D49" s="2">
        <v>886193008042</v>
      </c>
    </row>
    <row r="50" spans="3:4">
      <c r="C50" t="s">
        <v>99</v>
      </c>
      <c r="D50" s="2">
        <v>886191943122</v>
      </c>
    </row>
    <row r="51" spans="3:4">
      <c r="C51" t="s">
        <v>117</v>
      </c>
      <c r="D51" s="2">
        <v>886192193653</v>
      </c>
    </row>
    <row r="52" spans="3:4">
      <c r="C52" t="s">
        <v>79</v>
      </c>
      <c r="D52" s="2">
        <v>886191460117</v>
      </c>
    </row>
    <row r="53" spans="3:4">
      <c r="C53" t="s">
        <v>83</v>
      </c>
      <c r="D53" s="2">
        <v>886191878080</v>
      </c>
    </row>
    <row r="54" spans="3:4">
      <c r="C54" t="s">
        <v>47</v>
      </c>
      <c r="D54" s="2">
        <v>886191081406</v>
      </c>
    </row>
    <row r="55" spans="3:4">
      <c r="C55" t="s">
        <v>113</v>
      </c>
      <c r="D55" s="2">
        <v>886192975044</v>
      </c>
    </row>
    <row r="56" spans="3:4">
      <c r="C56" t="s">
        <v>143</v>
      </c>
      <c r="D56" s="2">
        <v>886192147684</v>
      </c>
    </row>
    <row r="57" spans="3:4">
      <c r="C57" t="s">
        <v>97</v>
      </c>
      <c r="D57" s="2">
        <v>886191558860</v>
      </c>
    </row>
    <row r="58" spans="3:4">
      <c r="C58" t="s">
        <v>23</v>
      </c>
      <c r="D58" s="2">
        <v>886191185575</v>
      </c>
    </row>
    <row r="59" spans="3:4">
      <c r="C59" t="s">
        <v>69</v>
      </c>
      <c r="D59" s="2">
        <v>886191011317</v>
      </c>
    </row>
    <row r="60" spans="3:4">
      <c r="C60" t="s">
        <v>89</v>
      </c>
      <c r="D60" s="2">
        <v>886191713114</v>
      </c>
    </row>
    <row r="61" spans="3:4">
      <c r="C61" t="s">
        <v>53</v>
      </c>
      <c r="D61" s="2">
        <v>886191416212</v>
      </c>
    </row>
    <row r="62" spans="3:4">
      <c r="C62" t="s">
        <v>106</v>
      </c>
      <c r="D62" s="2">
        <v>886192273518</v>
      </c>
    </row>
    <row r="63" spans="3:4">
      <c r="C63" t="s">
        <v>149</v>
      </c>
      <c r="D63" s="2">
        <v>886192432837</v>
      </c>
    </row>
    <row r="64" spans="3:4">
      <c r="C64" t="s">
        <v>67</v>
      </c>
      <c r="D64" s="2">
        <v>886191961212</v>
      </c>
    </row>
    <row r="65" spans="3:4">
      <c r="C65" t="s">
        <v>41</v>
      </c>
      <c r="D65" s="2">
        <v>886190705000</v>
      </c>
    </row>
    <row r="66" spans="3:4">
      <c r="C66" t="s">
        <v>139</v>
      </c>
      <c r="D66" s="2">
        <v>886192494471</v>
      </c>
    </row>
    <row r="67" spans="3:4">
      <c r="C67" t="s">
        <v>163</v>
      </c>
      <c r="D67" s="2">
        <v>886193253774</v>
      </c>
    </row>
    <row r="68" spans="3:4">
      <c r="C68" t="s">
        <v>81</v>
      </c>
      <c r="D68" s="2">
        <v>886191980075</v>
      </c>
    </row>
    <row r="69" spans="3:4">
      <c r="C69" t="s">
        <v>75</v>
      </c>
      <c r="D69" s="2">
        <v>886191832911</v>
      </c>
    </row>
    <row r="70" spans="3:4">
      <c r="C70" t="s">
        <v>125</v>
      </c>
      <c r="D70" s="2">
        <v>886192425252</v>
      </c>
    </row>
    <row r="71" spans="3:4">
      <c r="C71" t="s">
        <v>137</v>
      </c>
      <c r="D71" s="2">
        <v>886192015840</v>
      </c>
    </row>
    <row r="72" spans="3:4">
      <c r="C72" t="s">
        <v>165</v>
      </c>
      <c r="D72" s="2">
        <v>886193811085</v>
      </c>
    </row>
    <row r="73" spans="3:4">
      <c r="C73" t="s">
        <v>61</v>
      </c>
      <c r="D73" s="2">
        <v>886191052848</v>
      </c>
    </row>
    <row r="74" spans="3:4">
      <c r="C74" t="s">
        <v>15</v>
      </c>
      <c r="D74" s="2">
        <v>886191172593</v>
      </c>
    </row>
    <row r="75" spans="3:4">
      <c r="C75" t="s">
        <v>119</v>
      </c>
      <c r="D75" s="2">
        <v>886192518829</v>
      </c>
    </row>
    <row r="76" spans="3:4">
      <c r="C76" t="s">
        <v>129</v>
      </c>
      <c r="D76" s="2">
        <v>886192979115</v>
      </c>
    </row>
    <row r="77" spans="3:4">
      <c r="C77" t="s">
        <v>21</v>
      </c>
      <c r="D77" s="2">
        <v>886191136463</v>
      </c>
    </row>
    <row r="78" spans="3:4">
      <c r="C78" t="s">
        <v>49</v>
      </c>
      <c r="D78" s="2">
        <v>886191227026</v>
      </c>
    </row>
    <row r="79" spans="3:4">
      <c r="C79" t="s">
        <v>123</v>
      </c>
      <c r="D79" s="2">
        <v>886192182211</v>
      </c>
    </row>
    <row r="80" spans="3:4">
      <c r="C80" t="s">
        <v>65</v>
      </c>
      <c r="D80" s="2">
        <v>886191475731</v>
      </c>
    </row>
    <row r="81" spans="3:4">
      <c r="C81" t="s">
        <v>133</v>
      </c>
      <c r="D81" s="2">
        <v>886192816757</v>
      </c>
    </row>
    <row r="82" spans="3:4">
      <c r="C82" t="s">
        <v>55</v>
      </c>
      <c r="D82" s="2">
        <v>886191769126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2026-07-13T09:10:50Z</dcterms:created>
  <dcterms:modified xsi:type="dcterms:W3CDTF">2026-07-15T10:01:00Z</dcterms:modified>
  <cp:category/>
  <cp:contentStatus/>
</cp:coreProperties>
</file>