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kcbbankgroup-my.sharepoint.com/personal/rwa206217_bpr_rw/Documents/Desktop/DIGITAL BANKING/IREMBO/"/>
    </mc:Choice>
  </mc:AlternateContent>
  <xr:revisionPtr revIDLastSave="72" documentId="11_5D435E00C1735842E332B40DA239516741F027E6" xr6:coauthVersionLast="47" xr6:coauthVersionMax="47" xr10:uidLastSave="{87104DF9-E80E-401F-A338-E66B810D35EA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definedNames>
    <definedName name="_xlnm._FilterDatabase" localSheetId="0" hidden="1">'Export Worksheet'!$A$1:$H$211</definedName>
    <definedName name="_xlnm._FilterDatabase" localSheetId="1" hidden="1">SQL!$C$2:$D$212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6" i="1"/>
  <c r="D137" i="1"/>
  <c r="D138" i="1"/>
  <c r="D139" i="1"/>
  <c r="D140" i="1"/>
  <c r="D141" i="1"/>
  <c r="D142" i="1"/>
  <c r="D143" i="1"/>
  <c r="D144" i="1"/>
  <c r="D147" i="1"/>
  <c r="D148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" i="1"/>
</calcChain>
</file>

<file path=xl/sharedStrings.xml><?xml version="1.0" encoding="utf-8"?>
<sst xmlns="http://schemas.openxmlformats.org/spreadsheetml/2006/main" count="1053" uniqueCount="439">
  <si>
    <t>BOOKING_DATE</t>
  </si>
  <si>
    <t>BANK_REFERENCE</t>
  </si>
  <si>
    <t>DESCRIPTION</t>
  </si>
  <si>
    <t>INVOICES</t>
  </si>
  <si>
    <t>VALUE_DATE</t>
  </si>
  <si>
    <t>DEBIT</t>
  </si>
  <si>
    <t>CREDIT</t>
  </si>
  <si>
    <t>CLOSING_BALANCE</t>
  </si>
  <si>
    <t>2026-07-16</t>
  </si>
  <si>
    <t>FT26197XT49V</t>
  </si>
  <si>
    <t>SZV090LS5X2D</t>
  </si>
  <si>
    <t>16-JUL-26</t>
  </si>
  <si>
    <t>FT26197NT1DW</t>
  </si>
  <si>
    <t>SZG099WBAMQ0</t>
  </si>
  <si>
    <t>FT26197V3CNL</t>
  </si>
  <si>
    <t>20144570294</t>
  </si>
  <si>
    <t>FT26197J211W</t>
  </si>
  <si>
    <t>SZU099821ER2</t>
  </si>
  <si>
    <t>FT26197PGWT7</t>
  </si>
  <si>
    <t>SZL09994UGHU</t>
  </si>
  <si>
    <t>FT2619759KHK</t>
  </si>
  <si>
    <t>SZU090L1XRMC</t>
  </si>
  <si>
    <t>FT26197J4WG6</t>
  </si>
  <si>
    <t>SZ5090TPP0YE</t>
  </si>
  <si>
    <t>FT261973TYJH</t>
  </si>
  <si>
    <t>SZ3090BF70Z5</t>
  </si>
  <si>
    <t>FT26197XGTQZ</t>
  </si>
  <si>
    <t>SZ0090D61VC7</t>
  </si>
  <si>
    <t>FT26197BZC2L</t>
  </si>
  <si>
    <t>SZL0990AGGXA</t>
  </si>
  <si>
    <t>FT26197FL3WN</t>
  </si>
  <si>
    <t>SZN0997U8TVP</t>
  </si>
  <si>
    <t>FT261970YMH9</t>
  </si>
  <si>
    <t>SZ4090LQQCPB</t>
  </si>
  <si>
    <t>FT26197S25S6</t>
  </si>
  <si>
    <t>SZD090LYJ5Z4</t>
  </si>
  <si>
    <t>FT26197F74ZB</t>
  </si>
  <si>
    <t>SZD090QV9T2D</t>
  </si>
  <si>
    <t>FT2619752KLB</t>
  </si>
  <si>
    <t>SZ5090L4NJT2</t>
  </si>
  <si>
    <t>FT26197FDN2D</t>
  </si>
  <si>
    <t>SZF090MZH2L9</t>
  </si>
  <si>
    <t>FT26197S9QC6</t>
  </si>
  <si>
    <t>SZK090E0ES02</t>
  </si>
  <si>
    <t>FT26197D426W</t>
  </si>
  <si>
    <t>SZ90993HNKMD</t>
  </si>
  <si>
    <t>FT261978HL53</t>
  </si>
  <si>
    <t>SZU099UMMZRX</t>
  </si>
  <si>
    <t>FT261979DW7C</t>
  </si>
  <si>
    <t>SZG090ASUN8L</t>
  </si>
  <si>
    <t>FT26197LL5GK</t>
  </si>
  <si>
    <t>SZP09997435Y</t>
  </si>
  <si>
    <t>FT26197NBRJC</t>
  </si>
  <si>
    <t>SZ20983RY4RR</t>
  </si>
  <si>
    <t>15-JUL-26</t>
  </si>
  <si>
    <t>FT26197PDDCF</t>
  </si>
  <si>
    <t>SZG090D1B6SF</t>
  </si>
  <si>
    <t>FT26197GSJ74</t>
  </si>
  <si>
    <t>SZT0999EJUNX</t>
  </si>
  <si>
    <t>FT26197HY8PT</t>
  </si>
  <si>
    <t>SZJ090GPJ6Z7</t>
  </si>
  <si>
    <t>FT26197CD95B</t>
  </si>
  <si>
    <t>SZL099VY4DK3</t>
  </si>
  <si>
    <t>FT261977SK0Z</t>
  </si>
  <si>
    <t>SZA0998VWQ2C</t>
  </si>
  <si>
    <t>FT261975VJRM</t>
  </si>
  <si>
    <t>SZ809980TV3L</t>
  </si>
  <si>
    <t>FT261971LD00</t>
  </si>
  <si>
    <t>SZB0991RA8UB</t>
  </si>
  <si>
    <t>FT26197W57QF</t>
  </si>
  <si>
    <t>20144570972</t>
  </si>
  <si>
    <t>FT26197NLKNX</t>
  </si>
  <si>
    <t>SZK0999YRXC3</t>
  </si>
  <si>
    <t>FT2619767J60</t>
  </si>
  <si>
    <t>SZ3099YXKSGF</t>
  </si>
  <si>
    <t>FT26197XFPGR</t>
  </si>
  <si>
    <t>SZU090DQG432</t>
  </si>
  <si>
    <t>FT26197FBHY0</t>
  </si>
  <si>
    <t>SZR090LFC2XQ</t>
  </si>
  <si>
    <t>FT26197F223B</t>
  </si>
  <si>
    <t>SZ50994JYVEF</t>
  </si>
  <si>
    <t>FT2619757BH6</t>
  </si>
  <si>
    <t>SZU090C5ELJ6</t>
  </si>
  <si>
    <t>2026-07-17</t>
  </si>
  <si>
    <t>FT26198T6QDJ</t>
  </si>
  <si>
    <t>SZ800A812K43</t>
  </si>
  <si>
    <t>17-JUL-26</t>
  </si>
  <si>
    <t>FT261988WDSF</t>
  </si>
  <si>
    <t>SZR00BQ4S0R7</t>
  </si>
  <si>
    <t>FT26198FHY3M</t>
  </si>
  <si>
    <t>SZB00A48CD53</t>
  </si>
  <si>
    <t>FT26198B2Q0J</t>
  </si>
  <si>
    <t>SZU00BR5BVFK</t>
  </si>
  <si>
    <t>FT261983NR3J</t>
  </si>
  <si>
    <t>SZZ00BB5NU0E</t>
  </si>
  <si>
    <t>FT26198PJ8JH</t>
  </si>
  <si>
    <t>SZH00A6MWBNF</t>
  </si>
  <si>
    <t>FT261981C12D</t>
  </si>
  <si>
    <t>SZZ00A7GXCLM</t>
  </si>
  <si>
    <t>FT26198FQN9X</t>
  </si>
  <si>
    <t>SZB00BFXGMNV</t>
  </si>
  <si>
    <t>FT26198R0S9G</t>
  </si>
  <si>
    <t>SZF00AT54CXZ</t>
  </si>
  <si>
    <t>FT26198JJQZ7</t>
  </si>
  <si>
    <t>SZG00A098DY5</t>
  </si>
  <si>
    <t>FT2619847Y4Q</t>
  </si>
  <si>
    <t>SZG00BLFXBL0</t>
  </si>
  <si>
    <t>FT26198RN5Y9</t>
  </si>
  <si>
    <t>SZ800A45QS62</t>
  </si>
  <si>
    <t>FT261983HZ1Z</t>
  </si>
  <si>
    <t>SZ300BNLL1UR</t>
  </si>
  <si>
    <t>FT26198X49HY</t>
  </si>
  <si>
    <t>SZ300A3R0EHM</t>
  </si>
  <si>
    <t>FT26198N4B0C</t>
  </si>
  <si>
    <t>SZR00A67GKRU</t>
  </si>
  <si>
    <t>FT26198D8B8Y</t>
  </si>
  <si>
    <t>SZ200A6V98DA</t>
  </si>
  <si>
    <t>FT26198S59XL</t>
  </si>
  <si>
    <t>SZZ00A6FZ11E</t>
  </si>
  <si>
    <t>FT26198DZ371</t>
  </si>
  <si>
    <t>SZF00BFR0UC7</t>
  </si>
  <si>
    <t>FT26198Z773Z</t>
  </si>
  <si>
    <t>SZE00BMN86CP</t>
  </si>
  <si>
    <t>FT261982BTMD</t>
  </si>
  <si>
    <t>SZD00BG4VBA4</t>
  </si>
  <si>
    <t>FT26198ZX4BQ</t>
  </si>
  <si>
    <t>SZX00A58MQ57</t>
  </si>
  <si>
    <t>FT26198SVNKL</t>
  </si>
  <si>
    <t>SZP00A58EKJF</t>
  </si>
  <si>
    <t>FT26198MS0G4</t>
  </si>
  <si>
    <t>SZ600A6B8TRG</t>
  </si>
  <si>
    <t>FT26198CG1C5</t>
  </si>
  <si>
    <t>SZK00AP5VN3P</t>
  </si>
  <si>
    <t>FT26198N607W</t>
  </si>
  <si>
    <t>SZX00BAWV96F</t>
  </si>
  <si>
    <t>FT26198W5ZQ2</t>
  </si>
  <si>
    <t>SZ000BAS6MDZ</t>
  </si>
  <si>
    <t>FT261982S385</t>
  </si>
  <si>
    <t>SZB00BCRXZKH</t>
  </si>
  <si>
    <t>FT26198YD736</t>
  </si>
  <si>
    <t>SZ800A4YFFR6</t>
  </si>
  <si>
    <t>FT26198X6Z2C</t>
  </si>
  <si>
    <t>SZ500A4S3SY8</t>
  </si>
  <si>
    <t>FT261987X40N</t>
  </si>
  <si>
    <t>SZY00A33PD2V</t>
  </si>
  <si>
    <t>FT26198SXR4T</t>
  </si>
  <si>
    <t>SZ500BEG7ZCB</t>
  </si>
  <si>
    <t>FT26198YXG8V</t>
  </si>
  <si>
    <t>SZJ00AZUGRT7</t>
  </si>
  <si>
    <t>FT26198MDT94</t>
  </si>
  <si>
    <t>SZC00BEQUBLQ</t>
  </si>
  <si>
    <t>FT26198880H4</t>
  </si>
  <si>
    <t>SZZ00A8CV14T</t>
  </si>
  <si>
    <t>FT261988C402</t>
  </si>
  <si>
    <t>SZ000AP3FEEM</t>
  </si>
  <si>
    <t>FT26198JZYFY</t>
  </si>
  <si>
    <t>SZE00A635XZK</t>
  </si>
  <si>
    <t>FT26198SDVKN</t>
  </si>
  <si>
    <t>SZD00BKFYUAX</t>
  </si>
  <si>
    <t>FT26198V7YYY</t>
  </si>
  <si>
    <t>SZF00A55JHXJ</t>
  </si>
  <si>
    <t>FT261988967B</t>
  </si>
  <si>
    <t>SZJ00A60MV27</t>
  </si>
  <si>
    <t>FT26198XD64C</t>
  </si>
  <si>
    <t>SZP00BD2RGQJ</t>
  </si>
  <si>
    <t>FT261986KD3V</t>
  </si>
  <si>
    <t>SZF00A6T88DS</t>
  </si>
  <si>
    <t>FT26198YTMTP</t>
  </si>
  <si>
    <t>SZR00AX6Z182</t>
  </si>
  <si>
    <t>FT26198LWT65</t>
  </si>
  <si>
    <t>SZQ00A40QET6</t>
  </si>
  <si>
    <t>FT26198P5N3K</t>
  </si>
  <si>
    <t>SZM00A5XWCWG</t>
  </si>
  <si>
    <t>FT261986DMGJ</t>
  </si>
  <si>
    <t>SZY00A0ERDZP</t>
  </si>
  <si>
    <t>FT26198X4YW3</t>
  </si>
  <si>
    <t>SZ400BEHCWJ4</t>
  </si>
  <si>
    <t>FT26198VPQ1D</t>
  </si>
  <si>
    <t>SZ100A5VNK5A</t>
  </si>
  <si>
    <t>FT26198XVFC1</t>
  </si>
  <si>
    <t>SZU00A6JP4YM</t>
  </si>
  <si>
    <t>FT26198WCCSY</t>
  </si>
  <si>
    <t>SZ100A4WJKCW</t>
  </si>
  <si>
    <t>FT26198Y0G0R</t>
  </si>
  <si>
    <t>SZU00A9E4RC3</t>
  </si>
  <si>
    <t>FT26198QSDJJ</t>
  </si>
  <si>
    <t>SZU00A5Q8AVF</t>
  </si>
  <si>
    <t>FT26198MWHYH</t>
  </si>
  <si>
    <t>SZC00A95Q5AK</t>
  </si>
  <si>
    <t>FT26198FFG3V</t>
  </si>
  <si>
    <t>SZZ00A6F587K</t>
  </si>
  <si>
    <t>FT26198ZMDF3</t>
  </si>
  <si>
    <t>SZ600ARSFXG3</t>
  </si>
  <si>
    <t>FT26198DZCNV</t>
  </si>
  <si>
    <t>SZ700ARVJZZB</t>
  </si>
  <si>
    <t>FT261988562K</t>
  </si>
  <si>
    <t>SZC00A64UW2C</t>
  </si>
  <si>
    <t>FT26198LTQ9F</t>
  </si>
  <si>
    <t>SZQ00A7JSSZY</t>
  </si>
  <si>
    <t>FT26198FKM1D</t>
  </si>
  <si>
    <t>20144583158</t>
  </si>
  <si>
    <t>FT26198CH3T6</t>
  </si>
  <si>
    <t>SZK00A7NZ8YA</t>
  </si>
  <si>
    <t>FT26198YKBB8</t>
  </si>
  <si>
    <t>SZZ00AUE3ERR</t>
  </si>
  <si>
    <t>FT26198YGDNF</t>
  </si>
  <si>
    <t>SZG00BD44B0A</t>
  </si>
  <si>
    <t>FT261988NMBK</t>
  </si>
  <si>
    <t>SZM00BEX702S</t>
  </si>
  <si>
    <t>FT26198GSXZK</t>
  </si>
  <si>
    <t>SZ400AQF4KTS</t>
  </si>
  <si>
    <t>FT261988FTD5</t>
  </si>
  <si>
    <t>SZP00A8JGAC8</t>
  </si>
  <si>
    <t>FT26198JD6WL</t>
  </si>
  <si>
    <t>SZ800A5BLWBC</t>
  </si>
  <si>
    <t>FT26198DVQ2J</t>
  </si>
  <si>
    <t>SZ400BFZHAUG</t>
  </si>
  <si>
    <t>FT26198PZ62D</t>
  </si>
  <si>
    <t>SZU00AWQD3F8</t>
  </si>
  <si>
    <t>FT26198VNLYS</t>
  </si>
  <si>
    <t>SZD00A3CT47H</t>
  </si>
  <si>
    <t>FT26198QQF32</t>
  </si>
  <si>
    <t>SZG00A7VA6D3</t>
  </si>
  <si>
    <t>FT26198SQDTR</t>
  </si>
  <si>
    <t>SZ500BCLDF1J</t>
  </si>
  <si>
    <t>FT26198JGWK2</t>
  </si>
  <si>
    <t>SZG00A6SQ64G</t>
  </si>
  <si>
    <t>FT26198RV47D</t>
  </si>
  <si>
    <t>SZF00A74UA7T</t>
  </si>
  <si>
    <t>FT26198YBLQW</t>
  </si>
  <si>
    <t>SZA00AT66RGZ</t>
  </si>
  <si>
    <t>FT26198G62VD</t>
  </si>
  <si>
    <t>SZ700A70DSSC</t>
  </si>
  <si>
    <t>FT26198Y2RCN</t>
  </si>
  <si>
    <t>SZJ00AUKMHUC</t>
  </si>
  <si>
    <t>FT26198YWMNY</t>
  </si>
  <si>
    <t>SZ400BAHV9GC</t>
  </si>
  <si>
    <t>FT26198SFQ6W</t>
  </si>
  <si>
    <t>SZS00A6X97JV</t>
  </si>
  <si>
    <t>FT26198C2MVP</t>
  </si>
  <si>
    <t>SZS00A427KZM</t>
  </si>
  <si>
    <t>FT26198B45JN</t>
  </si>
  <si>
    <t>SZL00BHKHUXC</t>
  </si>
  <si>
    <t>FT261984MR33</t>
  </si>
  <si>
    <t>SZU00A3G8SXS</t>
  </si>
  <si>
    <t>FT26198S7NT7</t>
  </si>
  <si>
    <t>SZE00ARZ3EP8</t>
  </si>
  <si>
    <t>FT26198FX1SV</t>
  </si>
  <si>
    <t>SZT00A0V78UB</t>
  </si>
  <si>
    <t>FT26198F5907</t>
  </si>
  <si>
    <t>SZC00BCXFPXD</t>
  </si>
  <si>
    <t>FT26198MZ013</t>
  </si>
  <si>
    <t>SZV00A75D3AW</t>
  </si>
  <si>
    <t>FT26198P8T0T</t>
  </si>
  <si>
    <t>SZ500A3H876A</t>
  </si>
  <si>
    <t>FT26198K4RCV</t>
  </si>
  <si>
    <t>SZT00AU13CVF</t>
  </si>
  <si>
    <t>FT26198CR5FV</t>
  </si>
  <si>
    <t>SZV00A72G9CU</t>
  </si>
  <si>
    <t>FT261980KPQ4</t>
  </si>
  <si>
    <t>SZK00A320T4P</t>
  </si>
  <si>
    <t>FT261982F8R3</t>
  </si>
  <si>
    <t>SZT00A7HNE98</t>
  </si>
  <si>
    <t>FT26198DCQNN</t>
  </si>
  <si>
    <t>SZ600A5H9T4F</t>
  </si>
  <si>
    <t>FT26198G9VWT</t>
  </si>
  <si>
    <t>SZA00AXGAQCA</t>
  </si>
  <si>
    <t>FT26198LHSGQ</t>
  </si>
  <si>
    <t>SZU00BHX7WFT</t>
  </si>
  <si>
    <t>FT26198NNRS9</t>
  </si>
  <si>
    <t>SZS00A90LYZF</t>
  </si>
  <si>
    <t>FT26198L4CMD</t>
  </si>
  <si>
    <t>SZV00BC1U7NY</t>
  </si>
  <si>
    <t>FT2619832K5H</t>
  </si>
  <si>
    <t>SZA00BGCV74G</t>
  </si>
  <si>
    <t>FT26198SLHMQ</t>
  </si>
  <si>
    <t>SZX00BHDSPM5</t>
  </si>
  <si>
    <t>FT26198X96N1</t>
  </si>
  <si>
    <t>SZ700BEPXXRG</t>
  </si>
  <si>
    <t>FT26198VG05Z</t>
  </si>
  <si>
    <t>20144594783</t>
  </si>
  <si>
    <t>FT26198P9Z9S</t>
  </si>
  <si>
    <t>SZZ00A7FAQAQ</t>
  </si>
  <si>
    <t>FT26198R9TF2</t>
  </si>
  <si>
    <t>SZE00A27A60P</t>
  </si>
  <si>
    <t>FT261987G782</t>
  </si>
  <si>
    <t>SZW00A6ALGDY</t>
  </si>
  <si>
    <t>2026-07-18</t>
  </si>
  <si>
    <t>FT26199PXM6L</t>
  </si>
  <si>
    <t>SZE00DFGTE4V</t>
  </si>
  <si>
    <t>18-JUL-26</t>
  </si>
  <si>
    <t>FT2619912CFY</t>
  </si>
  <si>
    <t>SZY00DH22ZS6</t>
  </si>
  <si>
    <t>FT26199B6CB8</t>
  </si>
  <si>
    <t>SZ800CVQ7B2Z</t>
  </si>
  <si>
    <t>FT26199FNP9T</t>
  </si>
  <si>
    <t>SZX00CSE38C9</t>
  </si>
  <si>
    <t>FT26199L6NV1</t>
  </si>
  <si>
    <t>SZZ00CWF6U0Q</t>
  </si>
  <si>
    <t>FT26199HR5ZY</t>
  </si>
  <si>
    <t>SZG00CV296MQ</t>
  </si>
  <si>
    <t>FT26199YZJZ6</t>
  </si>
  <si>
    <t>20144603156</t>
  </si>
  <si>
    <t>FT26199ZMK9P</t>
  </si>
  <si>
    <t>SZL00C655PW8</t>
  </si>
  <si>
    <t>FT261991FBVD</t>
  </si>
  <si>
    <t>SZT00C2BW9C9</t>
  </si>
  <si>
    <t>FT26199JT69C</t>
  </si>
  <si>
    <t>SZA00CP8CXWR</t>
  </si>
  <si>
    <t>FT261991G06B</t>
  </si>
  <si>
    <t>20144605112</t>
  </si>
  <si>
    <t>FT26199C9R31</t>
  </si>
  <si>
    <t>SZF00DDNVU2D</t>
  </si>
  <si>
    <t>FT261999DKDL</t>
  </si>
  <si>
    <t>SZR00CNSLYCV</t>
  </si>
  <si>
    <t>FT26199GDZQH</t>
  </si>
  <si>
    <t>SZT00CULHRJ9</t>
  </si>
  <si>
    <t>FT26199432ZX</t>
  </si>
  <si>
    <t>SZM00CVLZQR0</t>
  </si>
  <si>
    <t>FT261999HFNM</t>
  </si>
  <si>
    <t>SZD00CSBDHMU</t>
  </si>
  <si>
    <t>FT2619915XCK</t>
  </si>
  <si>
    <t>SZK00CQWBJR4</t>
  </si>
  <si>
    <t>FT26199LJRNR</t>
  </si>
  <si>
    <t>SZU00CQY467B</t>
  </si>
  <si>
    <t>FT261993D4FC</t>
  </si>
  <si>
    <t>SZV00CPS72Z8</t>
  </si>
  <si>
    <t>FT2619985W0J</t>
  </si>
  <si>
    <t>SZH00CUF6E1Y</t>
  </si>
  <si>
    <t>FT26199T09XG</t>
  </si>
  <si>
    <t>SZH00DD117ZB</t>
  </si>
  <si>
    <t>FT2619989BYJ</t>
  </si>
  <si>
    <t>SZK00C6KPWU8</t>
  </si>
  <si>
    <t>FT26199PFWRX</t>
  </si>
  <si>
    <t>SZQ00DKJ2MP2</t>
  </si>
  <si>
    <t>FT261991SXKN</t>
  </si>
  <si>
    <t>SZC00CPQWQFR</t>
  </si>
  <si>
    <t>FT26199NWW0Q</t>
  </si>
  <si>
    <t>SZV00C655G4K</t>
  </si>
  <si>
    <t>FT261999B0H9</t>
  </si>
  <si>
    <t>SZ400DHQA57S</t>
  </si>
  <si>
    <t>FT26199TS9PN</t>
  </si>
  <si>
    <t>SZ800CRCBLSA</t>
  </si>
  <si>
    <t>FT26199F0ZX6</t>
  </si>
  <si>
    <t>20144601501</t>
  </si>
  <si>
    <t>FT26199DBZGF</t>
  </si>
  <si>
    <t>SZN00DJX1DCQ</t>
  </si>
  <si>
    <t>FT2619980P23</t>
  </si>
  <si>
    <t>SZA00C6KJPSB</t>
  </si>
  <si>
    <t>FT26199Z5W2H</t>
  </si>
  <si>
    <t>SZT00CRE0LKG</t>
  </si>
  <si>
    <t>FT26199HYT8R</t>
  </si>
  <si>
    <t>SZC00C40G5NV</t>
  </si>
  <si>
    <t>2026-07-19</t>
  </si>
  <si>
    <t>FT26200TTVPS</t>
  </si>
  <si>
    <t>SZL00FERR1UY</t>
  </si>
  <si>
    <t>19-JUL-26</t>
  </si>
  <si>
    <t>FT262006K682</t>
  </si>
  <si>
    <t>SZJ00FEXU3MA</t>
  </si>
  <si>
    <t>FT26200S9T83</t>
  </si>
  <si>
    <t>SZK00EV6PBLK</t>
  </si>
  <si>
    <t>FT26200S3KPN</t>
  </si>
  <si>
    <t>SZ600E54QX2B</t>
  </si>
  <si>
    <t>FT26200XMBJ1</t>
  </si>
  <si>
    <t>SZ200E6CK0XZ</t>
  </si>
  <si>
    <t>FT26200D5JMR</t>
  </si>
  <si>
    <t>SZY00FEFNWKC</t>
  </si>
  <si>
    <t>FT262005JSXP</t>
  </si>
  <si>
    <t>SZ600E6HVVL3</t>
  </si>
  <si>
    <t>FT2620002WFW</t>
  </si>
  <si>
    <t>SZB00E5NA9Y1</t>
  </si>
  <si>
    <t>FT26200TQJSZ</t>
  </si>
  <si>
    <t>SZV00EQ25MQM</t>
  </si>
  <si>
    <t>FT26200L3JZY</t>
  </si>
  <si>
    <t>SZN00E7W4H4V</t>
  </si>
  <si>
    <t>FT26200YNMS2</t>
  </si>
  <si>
    <t>SZG00EWPFRN1</t>
  </si>
  <si>
    <t>FT2620043QXQ</t>
  </si>
  <si>
    <t>SZ200E448CDA</t>
  </si>
  <si>
    <t>FT262003T2HB</t>
  </si>
  <si>
    <t>SZ800E4WHC7L</t>
  </si>
  <si>
    <t>FT26200QY9LD</t>
  </si>
  <si>
    <t>SZB00E6E1H1F</t>
  </si>
  <si>
    <t>FT262007TC3Q</t>
  </si>
  <si>
    <t>SZ500FAV5Y6E</t>
  </si>
  <si>
    <t>FT262009C84R</t>
  </si>
  <si>
    <t>SZ900EH8W6BK</t>
  </si>
  <si>
    <t>FT26200Q42MY</t>
  </si>
  <si>
    <t>SZU00E0QBNUG</t>
  </si>
  <si>
    <t>FT26200PR37Q</t>
  </si>
  <si>
    <t>SZZ00E4KL06F</t>
  </si>
  <si>
    <t>FT26200FKNYF</t>
  </si>
  <si>
    <t>SZ700EGCXN9S</t>
  </si>
  <si>
    <t>FT2620046D8T</t>
  </si>
  <si>
    <t>SZK00E82QW9V</t>
  </si>
  <si>
    <t>FT26200K6G8W</t>
  </si>
  <si>
    <t>SZS00ERGJMLF</t>
  </si>
  <si>
    <t>FT26200HZ0G0</t>
  </si>
  <si>
    <t>SZU00EUU56CF</t>
  </si>
  <si>
    <t>FT262005GYBV</t>
  </si>
  <si>
    <t>SZL00E3P3FAH</t>
  </si>
  <si>
    <t>FT26200N6B05</t>
  </si>
  <si>
    <t>SZP00E3KQ0KR</t>
  </si>
  <si>
    <t>FT26200F0WFQ</t>
  </si>
  <si>
    <t>SZL00FEJDCVR</t>
  </si>
  <si>
    <t>FT26200T7D3X</t>
  </si>
  <si>
    <t>SZ200FDAJCNK</t>
  </si>
  <si>
    <t>FT26200S1D2G</t>
  </si>
  <si>
    <t>SZ200FENY8KX</t>
  </si>
  <si>
    <t>FT26200XBBW0</t>
  </si>
  <si>
    <t>SZZ00FA831VM</t>
  </si>
  <si>
    <t>FT2620027JZ0</t>
  </si>
  <si>
    <t>SZ600E6Q94TJ</t>
  </si>
  <si>
    <t>FT26200T08KC</t>
  </si>
  <si>
    <t>SZ000FJCK667</t>
  </si>
  <si>
    <t>FT26200XGK80</t>
  </si>
  <si>
    <t>SZL00E5ZL4SG</t>
  </si>
  <si>
    <t>FT26200H246N</t>
  </si>
  <si>
    <t>SZW00E6LZ9GW</t>
  </si>
  <si>
    <t>FT26200RBPTQ</t>
  </si>
  <si>
    <t>SZM00E5YCKD3</t>
  </si>
  <si>
    <t>FT26200HS47W</t>
  </si>
  <si>
    <t>SZM00E41YT6F</t>
  </si>
  <si>
    <t>FT26200ZXR6P</t>
  </si>
  <si>
    <t>SZJ00E3LY8HJ</t>
  </si>
  <si>
    <t>FT26200LWK1Q</t>
  </si>
  <si>
    <t>SZA00EUZ7W76</t>
  </si>
  <si>
    <t>FT262005L4RG</t>
  </si>
  <si>
    <t>SZS00E3RQXVL</t>
  </si>
  <si>
    <t>FT26200RQ5J1</t>
  </si>
  <si>
    <t>SZN00E3TJAPD</t>
  </si>
  <si>
    <t>FT262007H751</t>
  </si>
  <si>
    <t>SZ200E40MKV4</t>
  </si>
  <si>
    <t>FT26200XZ9L4</t>
  </si>
  <si>
    <t>SZF00FEHYLCD</t>
  </si>
  <si>
    <t>FT262003KFRT</t>
  </si>
  <si>
    <t>SZM00E3JD5D9</t>
  </si>
  <si>
    <t>SZ700E5NA1S0</t>
  </si>
  <si>
    <t>payment","in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</si>
</sst>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11"/>
  <sheetViews>
    <sheetView tabSelected="1" workbookViewId="0">
      <pane ySplit="1" topLeftCell="A2" activePane="bottomLeft" state="frozen"/>
      <selection pane="bottomLeft" activeCell="H1" sqref="H1"/>
    </sheetView>
  </sheetViews>
  <sheetFormatPr defaultRowHeight="14.45"/>
  <cols>
    <col min="1" max="1" width="22.42578125" customWidth="1"/>
    <col min="2" max="2" width="20" bestFit="1" customWidth="1"/>
    <col min="3" max="3" width="17" bestFit="1" customWidth="1"/>
    <col min="4" max="4" width="17" customWidth="1"/>
    <col min="5" max="5" width="14.5703125" bestFit="1" customWidth="1"/>
    <col min="7" max="7" width="9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s="4">
        <f>VLOOKUP(C2,SQL!$C$2:$D$212,2,FALSE)</f>
        <v>886196862578</v>
      </c>
      <c r="E2" t="s">
        <v>11</v>
      </c>
      <c r="F2" s="1">
        <v>0</v>
      </c>
      <c r="G2" s="1">
        <v>1200</v>
      </c>
      <c r="H2" s="1">
        <v>457900</v>
      </c>
    </row>
    <row r="3" spans="1:8">
      <c r="A3" t="s">
        <v>8</v>
      </c>
      <c r="B3" t="s">
        <v>12</v>
      </c>
      <c r="C3" t="s">
        <v>13</v>
      </c>
      <c r="D3" s="4">
        <f>VLOOKUP(C3,SQL!$C$2:$D$212,2,FALSE)</f>
        <v>886197375812</v>
      </c>
      <c r="E3" t="s">
        <v>11</v>
      </c>
      <c r="F3" s="1">
        <v>0</v>
      </c>
      <c r="G3" s="1">
        <v>8000</v>
      </c>
      <c r="H3" s="1">
        <v>465900</v>
      </c>
    </row>
    <row r="4" spans="1:8">
      <c r="A4" t="s">
        <v>8</v>
      </c>
      <c r="B4" t="s">
        <v>14</v>
      </c>
      <c r="C4" t="s">
        <v>15</v>
      </c>
      <c r="D4" s="3">
        <v>886197386547</v>
      </c>
      <c r="E4" t="s">
        <v>11</v>
      </c>
      <c r="F4" s="1">
        <v>0</v>
      </c>
      <c r="G4" s="1">
        <v>5000</v>
      </c>
      <c r="H4" s="1">
        <v>470900</v>
      </c>
    </row>
    <row r="5" spans="1:8">
      <c r="A5" t="s">
        <v>8</v>
      </c>
      <c r="B5" t="s">
        <v>16</v>
      </c>
      <c r="C5" t="s">
        <v>17</v>
      </c>
      <c r="D5" s="4">
        <f>VLOOKUP(C5,SQL!$C$2:$D$212,2,FALSE)</f>
        <v>886197574578</v>
      </c>
      <c r="E5" t="s">
        <v>11</v>
      </c>
      <c r="F5" s="1">
        <v>0</v>
      </c>
      <c r="G5" s="1">
        <v>500</v>
      </c>
      <c r="H5" s="1">
        <v>471400</v>
      </c>
    </row>
    <row r="6" spans="1:8">
      <c r="A6" t="s">
        <v>8</v>
      </c>
      <c r="B6" t="s">
        <v>18</v>
      </c>
      <c r="C6" t="s">
        <v>19</v>
      </c>
      <c r="D6" s="4">
        <f>VLOOKUP(C6,SQL!$C$2:$D$212,2,FALSE)</f>
        <v>886197812062</v>
      </c>
      <c r="E6" t="s">
        <v>11</v>
      </c>
      <c r="F6" s="1">
        <v>0</v>
      </c>
      <c r="G6" s="1">
        <v>8000</v>
      </c>
      <c r="H6" s="1">
        <v>479400</v>
      </c>
    </row>
    <row r="7" spans="1:8">
      <c r="A7" t="s">
        <v>8</v>
      </c>
      <c r="B7" t="s">
        <v>20</v>
      </c>
      <c r="C7" t="s">
        <v>21</v>
      </c>
      <c r="D7" s="4">
        <f>VLOOKUP(C7,SQL!$C$2:$D$212,2,FALSE)</f>
        <v>886196095429</v>
      </c>
      <c r="E7" t="s">
        <v>11</v>
      </c>
      <c r="F7" s="1">
        <v>0</v>
      </c>
      <c r="G7" s="1">
        <v>500</v>
      </c>
      <c r="H7" s="1">
        <v>479900</v>
      </c>
    </row>
    <row r="8" spans="1:8">
      <c r="A8" t="s">
        <v>8</v>
      </c>
      <c r="B8" t="s">
        <v>22</v>
      </c>
      <c r="C8" t="s">
        <v>23</v>
      </c>
      <c r="D8" s="4">
        <f>VLOOKUP(C8,SQL!$C$2:$D$212,2,FALSE)</f>
        <v>886197331524</v>
      </c>
      <c r="E8" t="s">
        <v>11</v>
      </c>
      <c r="F8" s="1">
        <v>0</v>
      </c>
      <c r="G8" s="1">
        <v>10000</v>
      </c>
      <c r="H8" s="1">
        <v>489900</v>
      </c>
    </row>
    <row r="9" spans="1:8">
      <c r="A9" t="s">
        <v>8</v>
      </c>
      <c r="B9" t="s">
        <v>24</v>
      </c>
      <c r="C9" t="s">
        <v>25</v>
      </c>
      <c r="D9" s="4">
        <f>VLOOKUP(C9,SQL!$C$2:$D$212,2,FALSE)</f>
        <v>886197825934</v>
      </c>
      <c r="E9" t="s">
        <v>11</v>
      </c>
      <c r="F9" s="1">
        <v>0</v>
      </c>
      <c r="G9" s="1">
        <v>72000</v>
      </c>
      <c r="H9" s="1">
        <v>561900</v>
      </c>
    </row>
    <row r="10" spans="1:8">
      <c r="A10" t="s">
        <v>8</v>
      </c>
      <c r="B10" t="s">
        <v>26</v>
      </c>
      <c r="C10" t="s">
        <v>27</v>
      </c>
      <c r="D10" s="4">
        <f>VLOOKUP(C10,SQL!$C$2:$D$212,2,FALSE)</f>
        <v>886197083682</v>
      </c>
      <c r="E10" t="s">
        <v>11</v>
      </c>
      <c r="F10" s="1">
        <v>0</v>
      </c>
      <c r="G10" s="1">
        <v>20000</v>
      </c>
      <c r="H10" s="1">
        <v>581900</v>
      </c>
    </row>
    <row r="11" spans="1:8">
      <c r="A11" t="s">
        <v>8</v>
      </c>
      <c r="B11" t="s">
        <v>28</v>
      </c>
      <c r="C11" t="s">
        <v>29</v>
      </c>
      <c r="D11" s="4">
        <f>VLOOKUP(C11,SQL!$C$2:$D$212,2,FALSE)</f>
        <v>886197218096</v>
      </c>
      <c r="E11" t="s">
        <v>11</v>
      </c>
      <c r="F11" s="1">
        <v>0</v>
      </c>
      <c r="G11" s="1">
        <v>5000</v>
      </c>
      <c r="H11" s="1">
        <v>586900</v>
      </c>
    </row>
    <row r="12" spans="1:8">
      <c r="A12" t="s">
        <v>8</v>
      </c>
      <c r="B12" t="s">
        <v>30</v>
      </c>
      <c r="C12" t="s">
        <v>31</v>
      </c>
      <c r="D12" s="4">
        <f>VLOOKUP(C12,SQL!$C$2:$D$212,2,FALSE)</f>
        <v>886197960093</v>
      </c>
      <c r="E12" t="s">
        <v>11</v>
      </c>
      <c r="F12" s="1">
        <v>0</v>
      </c>
      <c r="G12" s="1">
        <v>19000</v>
      </c>
      <c r="H12" s="1">
        <v>605900</v>
      </c>
    </row>
    <row r="13" spans="1:8">
      <c r="A13" t="s">
        <v>8</v>
      </c>
      <c r="B13" t="s">
        <v>32</v>
      </c>
      <c r="C13" t="s">
        <v>33</v>
      </c>
      <c r="D13" s="4">
        <f>VLOOKUP(C13,SQL!$C$2:$D$212,2,FALSE)</f>
        <v>886196170765</v>
      </c>
      <c r="E13" t="s">
        <v>11</v>
      </c>
      <c r="F13" s="1">
        <v>0</v>
      </c>
      <c r="G13" s="1">
        <v>1200</v>
      </c>
      <c r="H13" s="1">
        <v>607100</v>
      </c>
    </row>
    <row r="14" spans="1:8">
      <c r="A14" t="s">
        <v>8</v>
      </c>
      <c r="B14" t="s">
        <v>34</v>
      </c>
      <c r="C14" t="s">
        <v>35</v>
      </c>
      <c r="D14" s="4">
        <f>VLOOKUP(C14,SQL!$C$2:$D$212,2,FALSE)</f>
        <v>886196072127</v>
      </c>
      <c r="E14" t="s">
        <v>11</v>
      </c>
      <c r="F14" s="1">
        <v>0</v>
      </c>
      <c r="G14" s="1">
        <v>500</v>
      </c>
      <c r="H14" s="1">
        <v>607600</v>
      </c>
    </row>
    <row r="15" spans="1:8">
      <c r="A15" t="s">
        <v>8</v>
      </c>
      <c r="B15" t="s">
        <v>36</v>
      </c>
      <c r="C15" t="s">
        <v>37</v>
      </c>
      <c r="D15" s="4">
        <f>VLOOKUP(C15,SQL!$C$2:$D$212,2,FALSE)</f>
        <v>886197377241</v>
      </c>
      <c r="E15" t="s">
        <v>11</v>
      </c>
      <c r="F15" s="1">
        <v>0</v>
      </c>
      <c r="G15" s="1">
        <v>8000</v>
      </c>
      <c r="H15" s="1">
        <v>615600</v>
      </c>
    </row>
    <row r="16" spans="1:8">
      <c r="A16" t="s">
        <v>8</v>
      </c>
      <c r="B16" t="s">
        <v>38</v>
      </c>
      <c r="C16" t="s">
        <v>39</v>
      </c>
      <c r="D16" s="4">
        <f>VLOOKUP(C16,SQL!$C$2:$D$212,2,FALSE)</f>
        <v>886197710587</v>
      </c>
      <c r="E16" t="s">
        <v>11</v>
      </c>
      <c r="F16" s="1">
        <v>0</v>
      </c>
      <c r="G16" s="1">
        <v>1200</v>
      </c>
      <c r="H16" s="1">
        <v>616800</v>
      </c>
    </row>
    <row r="17" spans="1:8">
      <c r="A17" t="s">
        <v>8</v>
      </c>
      <c r="B17" t="s">
        <v>40</v>
      </c>
      <c r="C17" t="s">
        <v>41</v>
      </c>
      <c r="D17" s="4">
        <f>VLOOKUP(C17,SQL!$C$2:$D$212,2,FALSE)</f>
        <v>886197791085</v>
      </c>
      <c r="E17" t="s">
        <v>11</v>
      </c>
      <c r="F17" s="1">
        <v>0</v>
      </c>
      <c r="G17" s="1">
        <v>15000</v>
      </c>
      <c r="H17" s="1">
        <v>631800</v>
      </c>
    </row>
    <row r="18" spans="1:8">
      <c r="A18" t="s">
        <v>8</v>
      </c>
      <c r="B18" t="s">
        <v>42</v>
      </c>
      <c r="C18" t="s">
        <v>43</v>
      </c>
      <c r="D18" s="4">
        <f>VLOOKUP(C18,SQL!$C$2:$D$212,2,FALSE)</f>
        <v>886197223951</v>
      </c>
      <c r="E18" t="s">
        <v>11</v>
      </c>
      <c r="F18" s="1">
        <v>0</v>
      </c>
      <c r="G18" s="1">
        <v>10000</v>
      </c>
      <c r="H18" s="1">
        <v>641800</v>
      </c>
    </row>
    <row r="19" spans="1:8">
      <c r="A19" t="s">
        <v>8</v>
      </c>
      <c r="B19" t="s">
        <v>44</v>
      </c>
      <c r="C19" t="s">
        <v>45</v>
      </c>
      <c r="D19" s="4">
        <f>VLOOKUP(C19,SQL!$C$2:$D$212,2,FALSE)</f>
        <v>886197379026</v>
      </c>
      <c r="E19" t="s">
        <v>11</v>
      </c>
      <c r="F19" s="1">
        <v>0</v>
      </c>
      <c r="G19" s="1">
        <v>40000</v>
      </c>
      <c r="H19" s="1">
        <v>681800</v>
      </c>
    </row>
    <row r="20" spans="1:8">
      <c r="A20" t="s">
        <v>8</v>
      </c>
      <c r="B20" t="s">
        <v>46</v>
      </c>
      <c r="C20" t="s">
        <v>47</v>
      </c>
      <c r="D20" s="4">
        <f>VLOOKUP(C20,SQL!$C$2:$D$212,2,FALSE)</f>
        <v>886197702955</v>
      </c>
      <c r="E20" t="s">
        <v>11</v>
      </c>
      <c r="F20" s="1">
        <v>0</v>
      </c>
      <c r="G20" s="1">
        <v>5000</v>
      </c>
      <c r="H20" s="1">
        <v>217100</v>
      </c>
    </row>
    <row r="21" spans="1:8">
      <c r="A21" t="s">
        <v>8</v>
      </c>
      <c r="B21" t="s">
        <v>48</v>
      </c>
      <c r="C21" t="s">
        <v>49</v>
      </c>
      <c r="D21" s="4">
        <f>VLOOKUP(C21,SQL!$C$2:$D$212,2,FALSE)</f>
        <v>886197146070</v>
      </c>
      <c r="E21" t="s">
        <v>11</v>
      </c>
      <c r="F21" s="1">
        <v>0</v>
      </c>
      <c r="G21" s="1">
        <v>45000</v>
      </c>
      <c r="H21" s="1">
        <v>262100</v>
      </c>
    </row>
    <row r="22" spans="1:8">
      <c r="A22" t="s">
        <v>8</v>
      </c>
      <c r="B22" t="s">
        <v>50</v>
      </c>
      <c r="C22" t="s">
        <v>51</v>
      </c>
      <c r="D22" s="4">
        <f>VLOOKUP(C22,SQL!$C$2:$D$212,2,FALSE)</f>
        <v>886197953371</v>
      </c>
      <c r="E22" t="s">
        <v>11</v>
      </c>
      <c r="F22" s="1">
        <v>0</v>
      </c>
      <c r="G22" s="1">
        <v>20000</v>
      </c>
      <c r="H22" s="1">
        <v>432100</v>
      </c>
    </row>
    <row r="23" spans="1:8">
      <c r="A23" t="s">
        <v>8</v>
      </c>
      <c r="B23" t="s">
        <v>52</v>
      </c>
      <c r="C23" t="s">
        <v>53</v>
      </c>
      <c r="D23" s="4">
        <f>VLOOKUP(C23,SQL!$C$2:$D$212,2,FALSE)</f>
        <v>886196742825</v>
      </c>
      <c r="E23" t="s">
        <v>54</v>
      </c>
      <c r="F23" s="1">
        <v>0</v>
      </c>
      <c r="G23" s="1">
        <v>15000</v>
      </c>
      <c r="H23" s="1">
        <v>447100</v>
      </c>
    </row>
    <row r="24" spans="1:8">
      <c r="A24" t="s">
        <v>8</v>
      </c>
      <c r="B24" t="s">
        <v>55</v>
      </c>
      <c r="C24" t="s">
        <v>56</v>
      </c>
      <c r="D24" s="4">
        <f>VLOOKUP(C24,SQL!$C$2:$D$212,2,FALSE)</f>
        <v>876197135449</v>
      </c>
      <c r="E24" t="s">
        <v>11</v>
      </c>
      <c r="F24" s="1">
        <v>0</v>
      </c>
      <c r="G24" s="1">
        <v>81578</v>
      </c>
      <c r="H24" s="1">
        <v>528678</v>
      </c>
    </row>
    <row r="25" spans="1:8">
      <c r="A25" t="s">
        <v>8</v>
      </c>
      <c r="B25" t="s">
        <v>57</v>
      </c>
      <c r="C25" t="s">
        <v>58</v>
      </c>
      <c r="D25" s="4">
        <f>VLOOKUP(C25,SQL!$C$2:$D$212,2,FALSE)</f>
        <v>886197565233</v>
      </c>
      <c r="E25" t="s">
        <v>11</v>
      </c>
      <c r="F25" s="1">
        <v>0</v>
      </c>
      <c r="G25" s="1">
        <v>500</v>
      </c>
      <c r="H25" s="1">
        <v>529178</v>
      </c>
    </row>
    <row r="26" spans="1:8">
      <c r="A26" t="s">
        <v>8</v>
      </c>
      <c r="B26" t="s">
        <v>59</v>
      </c>
      <c r="C26" t="s">
        <v>60</v>
      </c>
      <c r="D26" s="4">
        <f>VLOOKUP(C26,SQL!$C$2:$D$212,2,FALSE)</f>
        <v>886197579395</v>
      </c>
      <c r="E26" t="s">
        <v>11</v>
      </c>
      <c r="F26" s="1">
        <v>0</v>
      </c>
      <c r="G26" s="1">
        <v>30000</v>
      </c>
      <c r="H26" s="1">
        <v>559178</v>
      </c>
    </row>
    <row r="27" spans="1:8">
      <c r="A27" t="s">
        <v>8</v>
      </c>
      <c r="B27" t="s">
        <v>61</v>
      </c>
      <c r="C27" t="s">
        <v>62</v>
      </c>
      <c r="D27" s="4">
        <f>VLOOKUP(C27,SQL!$C$2:$D$212,2,FALSE)</f>
        <v>886197706720</v>
      </c>
      <c r="E27" t="s">
        <v>11</v>
      </c>
      <c r="F27" s="1">
        <v>0</v>
      </c>
      <c r="G27" s="1">
        <v>500</v>
      </c>
      <c r="H27" s="1">
        <v>559678</v>
      </c>
    </row>
    <row r="28" spans="1:8">
      <c r="A28" t="s">
        <v>8</v>
      </c>
      <c r="B28" t="s">
        <v>63</v>
      </c>
      <c r="C28" t="s">
        <v>64</v>
      </c>
      <c r="D28" s="4">
        <f>VLOOKUP(C28,SQL!$C$2:$D$212,2,FALSE)</f>
        <v>886197806827</v>
      </c>
      <c r="E28" t="s">
        <v>11</v>
      </c>
      <c r="F28" s="1">
        <v>0</v>
      </c>
      <c r="G28" s="1">
        <v>500</v>
      </c>
      <c r="H28" s="1">
        <v>560178</v>
      </c>
    </row>
    <row r="29" spans="1:8">
      <c r="A29" t="s">
        <v>8</v>
      </c>
      <c r="B29" t="s">
        <v>65</v>
      </c>
      <c r="C29" t="s">
        <v>66</v>
      </c>
      <c r="D29" s="4">
        <f>VLOOKUP(C29,SQL!$C$2:$D$212,2,FALSE)</f>
        <v>886197149402</v>
      </c>
      <c r="E29" t="s">
        <v>11</v>
      </c>
      <c r="F29" s="1">
        <v>0</v>
      </c>
      <c r="G29" s="1">
        <v>500</v>
      </c>
      <c r="H29" s="1">
        <v>560678</v>
      </c>
    </row>
    <row r="30" spans="1:8">
      <c r="A30" t="s">
        <v>8</v>
      </c>
      <c r="B30" t="s">
        <v>67</v>
      </c>
      <c r="C30" t="s">
        <v>68</v>
      </c>
      <c r="D30" s="4">
        <f>VLOOKUP(C30,SQL!$C$2:$D$212,2,FALSE)</f>
        <v>886197916772</v>
      </c>
      <c r="E30" t="s">
        <v>11</v>
      </c>
      <c r="F30" s="1">
        <v>0</v>
      </c>
      <c r="G30" s="1">
        <v>5000</v>
      </c>
      <c r="H30" s="1">
        <v>565678</v>
      </c>
    </row>
    <row r="31" spans="1:8">
      <c r="A31" t="s">
        <v>8</v>
      </c>
      <c r="B31" t="s">
        <v>69</v>
      </c>
      <c r="C31" t="s">
        <v>70</v>
      </c>
      <c r="D31" s="3">
        <v>886196873806</v>
      </c>
      <c r="E31" t="s">
        <v>11</v>
      </c>
      <c r="F31" s="1">
        <v>0</v>
      </c>
      <c r="G31" s="1">
        <v>150000</v>
      </c>
      <c r="H31" s="1">
        <v>715678</v>
      </c>
    </row>
    <row r="32" spans="1:8">
      <c r="A32" t="s">
        <v>8</v>
      </c>
      <c r="B32" t="s">
        <v>71</v>
      </c>
      <c r="C32" t="s">
        <v>72</v>
      </c>
      <c r="D32" s="4">
        <f>VLOOKUP(C32,SQL!$C$2:$D$212,2,FALSE)</f>
        <v>886197892751</v>
      </c>
      <c r="E32" t="s">
        <v>11</v>
      </c>
      <c r="F32" s="1">
        <v>0</v>
      </c>
      <c r="G32" s="1">
        <v>12000</v>
      </c>
      <c r="H32" s="1">
        <v>727678</v>
      </c>
    </row>
    <row r="33" spans="1:8">
      <c r="A33" t="s">
        <v>8</v>
      </c>
      <c r="B33" t="s">
        <v>73</v>
      </c>
      <c r="C33" t="s">
        <v>74</v>
      </c>
      <c r="D33" s="4">
        <f>VLOOKUP(C33,SQL!$C$2:$D$212,2,FALSE)</f>
        <v>886197295501</v>
      </c>
      <c r="E33" t="s">
        <v>11</v>
      </c>
      <c r="F33" s="1">
        <v>0</v>
      </c>
      <c r="G33" s="1">
        <v>30000</v>
      </c>
      <c r="H33" s="1">
        <v>757678</v>
      </c>
    </row>
    <row r="34" spans="1:8">
      <c r="A34" t="s">
        <v>8</v>
      </c>
      <c r="B34" t="s">
        <v>75</v>
      </c>
      <c r="C34" t="s">
        <v>76</v>
      </c>
      <c r="D34" s="4">
        <f>VLOOKUP(C34,SQL!$C$2:$D$212,2,FALSE)</f>
        <v>886197470431</v>
      </c>
      <c r="E34" t="s">
        <v>11</v>
      </c>
      <c r="F34" s="1">
        <v>0</v>
      </c>
      <c r="G34" s="1">
        <v>500</v>
      </c>
      <c r="H34" s="1">
        <v>758178</v>
      </c>
    </row>
    <row r="35" spans="1:8">
      <c r="A35" t="s">
        <v>8</v>
      </c>
      <c r="B35" t="s">
        <v>77</v>
      </c>
      <c r="C35" t="s">
        <v>78</v>
      </c>
      <c r="D35" s="4">
        <f>VLOOKUP(C35,SQL!$C$2:$D$212,2,FALSE)</f>
        <v>886197052296</v>
      </c>
      <c r="E35" t="s">
        <v>11</v>
      </c>
      <c r="F35" s="1">
        <v>0</v>
      </c>
      <c r="G35" s="1">
        <v>35000</v>
      </c>
      <c r="H35" s="1">
        <v>793178</v>
      </c>
    </row>
    <row r="36" spans="1:8">
      <c r="A36" t="s">
        <v>8</v>
      </c>
      <c r="B36" t="s">
        <v>79</v>
      </c>
      <c r="C36" t="s">
        <v>80</v>
      </c>
      <c r="D36" s="4">
        <f>VLOOKUP(C36,SQL!$C$2:$D$212,2,FALSE)</f>
        <v>886197011133</v>
      </c>
      <c r="E36" t="s">
        <v>11</v>
      </c>
      <c r="F36" s="1">
        <v>0</v>
      </c>
      <c r="G36" s="1">
        <v>15000</v>
      </c>
      <c r="H36" s="1">
        <v>808178</v>
      </c>
    </row>
    <row r="37" spans="1:8">
      <c r="A37" t="s">
        <v>8</v>
      </c>
      <c r="B37" t="s">
        <v>81</v>
      </c>
      <c r="C37" t="s">
        <v>82</v>
      </c>
      <c r="D37" s="4">
        <f>VLOOKUP(C37,SQL!$C$2:$D$212,2,FALSE)</f>
        <v>886197919675</v>
      </c>
      <c r="E37" t="s">
        <v>11</v>
      </c>
      <c r="F37" s="1">
        <v>0</v>
      </c>
      <c r="G37" s="1">
        <v>16000</v>
      </c>
      <c r="H37" s="1">
        <v>824178</v>
      </c>
    </row>
    <row r="38" spans="1:8">
      <c r="A38" t="s">
        <v>83</v>
      </c>
      <c r="B38" t="s">
        <v>84</v>
      </c>
      <c r="C38" t="s">
        <v>85</v>
      </c>
      <c r="D38" s="4">
        <f>VLOOKUP(C38,SQL!$C$2:$D$212,2,FALSE)</f>
        <v>886198966420</v>
      </c>
      <c r="E38" t="s">
        <v>86</v>
      </c>
      <c r="F38" s="1">
        <v>0</v>
      </c>
      <c r="G38" s="1">
        <v>24000</v>
      </c>
      <c r="H38" s="1">
        <v>848178</v>
      </c>
    </row>
    <row r="39" spans="1:8">
      <c r="A39" t="s">
        <v>83</v>
      </c>
      <c r="B39" t="s">
        <v>87</v>
      </c>
      <c r="C39" t="s">
        <v>88</v>
      </c>
      <c r="D39" s="4">
        <f>VLOOKUP(C39,SQL!$C$2:$D$212,2,FALSE)</f>
        <v>886198658092</v>
      </c>
      <c r="E39" t="s">
        <v>86</v>
      </c>
      <c r="F39" s="1">
        <v>0</v>
      </c>
      <c r="G39" s="1">
        <v>5000</v>
      </c>
      <c r="H39" s="1">
        <v>853178</v>
      </c>
    </row>
    <row r="40" spans="1:8">
      <c r="A40" t="s">
        <v>83</v>
      </c>
      <c r="B40" t="s">
        <v>89</v>
      </c>
      <c r="C40" t="s">
        <v>90</v>
      </c>
      <c r="D40" s="4">
        <f>VLOOKUP(C40,SQL!$C$2:$D$212,2,FALSE)</f>
        <v>886198855361</v>
      </c>
      <c r="E40" t="s">
        <v>86</v>
      </c>
      <c r="F40" s="1">
        <v>0</v>
      </c>
      <c r="G40" s="1">
        <v>16000</v>
      </c>
      <c r="H40" s="1">
        <v>869178</v>
      </c>
    </row>
    <row r="41" spans="1:8">
      <c r="A41" t="s">
        <v>83</v>
      </c>
      <c r="B41" t="s">
        <v>91</v>
      </c>
      <c r="C41" t="s">
        <v>92</v>
      </c>
      <c r="D41" s="4">
        <f>VLOOKUP(C41,SQL!$C$2:$D$212,2,FALSE)</f>
        <v>886198117681</v>
      </c>
      <c r="E41" t="s">
        <v>86</v>
      </c>
      <c r="F41" s="1">
        <v>0</v>
      </c>
      <c r="G41" s="1">
        <v>5000</v>
      </c>
      <c r="H41" s="1">
        <v>874178</v>
      </c>
    </row>
    <row r="42" spans="1:8">
      <c r="A42" t="s">
        <v>83</v>
      </c>
      <c r="B42" t="s">
        <v>93</v>
      </c>
      <c r="C42" t="s">
        <v>94</v>
      </c>
      <c r="D42" s="4">
        <f>VLOOKUP(C42,SQL!$C$2:$D$212,2,FALSE)</f>
        <v>876198106005</v>
      </c>
      <c r="E42" t="s">
        <v>86</v>
      </c>
      <c r="F42" s="1">
        <v>0</v>
      </c>
      <c r="G42" s="1">
        <v>10000</v>
      </c>
      <c r="H42" s="1">
        <v>884178</v>
      </c>
    </row>
    <row r="43" spans="1:8">
      <c r="A43" t="s">
        <v>83</v>
      </c>
      <c r="B43" t="s">
        <v>95</v>
      </c>
      <c r="C43" t="s">
        <v>96</v>
      </c>
      <c r="D43" s="4">
        <f>VLOOKUP(C43,SQL!$C$2:$D$212,2,FALSE)</f>
        <v>886198192915</v>
      </c>
      <c r="E43" t="s">
        <v>86</v>
      </c>
      <c r="F43" s="1">
        <v>0</v>
      </c>
      <c r="G43" s="1">
        <v>25000</v>
      </c>
      <c r="H43" s="1">
        <v>909178</v>
      </c>
    </row>
    <row r="44" spans="1:8">
      <c r="A44" t="s">
        <v>83</v>
      </c>
      <c r="B44" t="s">
        <v>97</v>
      </c>
      <c r="C44" t="s">
        <v>98</v>
      </c>
      <c r="D44" s="4">
        <f>VLOOKUP(C44,SQL!$C$2:$D$212,2,FALSE)</f>
        <v>886198533858</v>
      </c>
      <c r="E44" t="s">
        <v>86</v>
      </c>
      <c r="F44" s="1">
        <v>0</v>
      </c>
      <c r="G44" s="1">
        <v>5000</v>
      </c>
      <c r="H44" s="1">
        <v>914178</v>
      </c>
    </row>
    <row r="45" spans="1:8">
      <c r="A45" t="s">
        <v>83</v>
      </c>
      <c r="B45" t="s">
        <v>99</v>
      </c>
      <c r="C45" t="s">
        <v>100</v>
      </c>
      <c r="D45" s="4">
        <f>VLOOKUP(C45,SQL!$C$2:$D$212,2,FALSE)</f>
        <v>886198464083</v>
      </c>
      <c r="E45" t="s">
        <v>86</v>
      </c>
      <c r="F45" s="1">
        <v>0</v>
      </c>
      <c r="G45" s="1">
        <v>8000</v>
      </c>
      <c r="H45" s="1">
        <v>922178</v>
      </c>
    </row>
    <row r="46" spans="1:8">
      <c r="A46" t="s">
        <v>83</v>
      </c>
      <c r="B46" t="s">
        <v>101</v>
      </c>
      <c r="C46" t="s">
        <v>102</v>
      </c>
      <c r="D46" s="4">
        <f>VLOOKUP(C46,SQL!$C$2:$D$212,2,FALSE)</f>
        <v>886198463909</v>
      </c>
      <c r="E46" t="s">
        <v>86</v>
      </c>
      <c r="F46" s="1">
        <v>0</v>
      </c>
      <c r="G46" s="1">
        <v>3000</v>
      </c>
      <c r="H46" s="1">
        <v>925178</v>
      </c>
    </row>
    <row r="47" spans="1:8">
      <c r="A47" t="s">
        <v>83</v>
      </c>
      <c r="B47" t="s">
        <v>103</v>
      </c>
      <c r="C47" t="s">
        <v>104</v>
      </c>
      <c r="D47" s="4">
        <f>VLOOKUP(C47,SQL!$C$2:$D$212,2,FALSE)</f>
        <v>886198714344</v>
      </c>
      <c r="E47" t="s">
        <v>86</v>
      </c>
      <c r="F47" s="1">
        <v>0</v>
      </c>
      <c r="G47" s="1">
        <v>10000</v>
      </c>
      <c r="H47" s="1">
        <v>935178</v>
      </c>
    </row>
    <row r="48" spans="1:8">
      <c r="A48" t="s">
        <v>83</v>
      </c>
      <c r="B48" t="s">
        <v>105</v>
      </c>
      <c r="C48" t="s">
        <v>106</v>
      </c>
      <c r="D48" s="4">
        <f>VLOOKUP(C48,SQL!$C$2:$D$212,2,FALSE)</f>
        <v>886198990743</v>
      </c>
      <c r="E48" t="s">
        <v>86</v>
      </c>
      <c r="F48" s="1">
        <v>0</v>
      </c>
      <c r="G48" s="1">
        <v>8000</v>
      </c>
      <c r="H48" s="1">
        <v>943178</v>
      </c>
    </row>
    <row r="49" spans="1:8">
      <c r="A49" t="s">
        <v>83</v>
      </c>
      <c r="B49" t="s">
        <v>107</v>
      </c>
      <c r="C49" t="s">
        <v>108</v>
      </c>
      <c r="D49" s="4">
        <f>VLOOKUP(C49,SQL!$C$2:$D$212,2,FALSE)</f>
        <v>886198336593</v>
      </c>
      <c r="E49" t="s">
        <v>86</v>
      </c>
      <c r="F49" s="1">
        <v>0</v>
      </c>
      <c r="G49" s="1">
        <v>2000</v>
      </c>
      <c r="H49" s="1">
        <v>945178</v>
      </c>
    </row>
    <row r="50" spans="1:8">
      <c r="A50" t="s">
        <v>83</v>
      </c>
      <c r="B50" t="s">
        <v>109</v>
      </c>
      <c r="C50" t="s">
        <v>110</v>
      </c>
      <c r="D50" s="4">
        <f>VLOOKUP(C50,SQL!$C$2:$D$212,2,FALSE)</f>
        <v>886198098185</v>
      </c>
      <c r="E50" t="s">
        <v>86</v>
      </c>
      <c r="F50" s="1">
        <v>0</v>
      </c>
      <c r="G50" s="1">
        <v>15000</v>
      </c>
      <c r="H50" s="1">
        <v>960178</v>
      </c>
    </row>
    <row r="51" spans="1:8">
      <c r="A51" t="s">
        <v>83</v>
      </c>
      <c r="B51" t="s">
        <v>111</v>
      </c>
      <c r="C51" t="s">
        <v>112</v>
      </c>
      <c r="D51" s="4">
        <f>VLOOKUP(C51,SQL!$C$2:$D$212,2,FALSE)</f>
        <v>886198856674</v>
      </c>
      <c r="E51" t="s">
        <v>86</v>
      </c>
      <c r="F51" s="1">
        <v>0</v>
      </c>
      <c r="G51" s="1">
        <v>18000</v>
      </c>
      <c r="H51" s="1">
        <v>978178</v>
      </c>
    </row>
    <row r="52" spans="1:8">
      <c r="A52" t="s">
        <v>83</v>
      </c>
      <c r="B52" t="s">
        <v>113</v>
      </c>
      <c r="C52" t="s">
        <v>114</v>
      </c>
      <c r="D52" s="4">
        <f>VLOOKUP(C52,SQL!$C$2:$D$212,2,FALSE)</f>
        <v>886198761980</v>
      </c>
      <c r="E52" t="s">
        <v>86</v>
      </c>
      <c r="F52" s="1">
        <v>0</v>
      </c>
      <c r="G52" s="1">
        <v>30000</v>
      </c>
      <c r="H52" s="1">
        <v>1008178</v>
      </c>
    </row>
    <row r="53" spans="1:8">
      <c r="A53" t="s">
        <v>83</v>
      </c>
      <c r="B53" t="s">
        <v>115</v>
      </c>
      <c r="C53" t="s">
        <v>116</v>
      </c>
      <c r="D53" s="4">
        <f>VLOOKUP(C53,SQL!$C$2:$D$212,2,FALSE)</f>
        <v>886198087315</v>
      </c>
      <c r="E53" t="s">
        <v>86</v>
      </c>
      <c r="F53" s="1">
        <v>0</v>
      </c>
      <c r="G53" s="1">
        <v>20000</v>
      </c>
      <c r="H53" s="1">
        <v>1028178</v>
      </c>
    </row>
    <row r="54" spans="1:8">
      <c r="A54" t="s">
        <v>83</v>
      </c>
      <c r="B54" t="s">
        <v>117</v>
      </c>
      <c r="C54" t="s">
        <v>118</v>
      </c>
      <c r="D54" s="4">
        <f>VLOOKUP(C54,SQL!$C$2:$D$212,2,FALSE)</f>
        <v>886198449783</v>
      </c>
      <c r="E54" t="s">
        <v>86</v>
      </c>
      <c r="F54" s="1">
        <v>0</v>
      </c>
      <c r="G54" s="1">
        <v>30000</v>
      </c>
      <c r="H54" s="1">
        <v>1058178</v>
      </c>
    </row>
    <row r="55" spans="1:8">
      <c r="A55" t="s">
        <v>83</v>
      </c>
      <c r="B55" t="s">
        <v>119</v>
      </c>
      <c r="C55" t="s">
        <v>120</v>
      </c>
      <c r="D55" s="4">
        <f>VLOOKUP(C55,SQL!$C$2:$D$212,2,FALSE)</f>
        <v>886198150721</v>
      </c>
      <c r="E55" t="s">
        <v>86</v>
      </c>
      <c r="F55" s="1">
        <v>0</v>
      </c>
      <c r="G55" s="1">
        <v>15000</v>
      </c>
      <c r="H55" s="1">
        <v>1073178</v>
      </c>
    </row>
    <row r="56" spans="1:8">
      <c r="A56" t="s">
        <v>83</v>
      </c>
      <c r="B56" t="s">
        <v>121</v>
      </c>
      <c r="C56" t="s">
        <v>122</v>
      </c>
      <c r="D56" s="4">
        <f>VLOOKUP(C56,SQL!$C$2:$D$212,2,FALSE)</f>
        <v>886198187912</v>
      </c>
      <c r="E56" t="s">
        <v>86</v>
      </c>
      <c r="F56" s="1">
        <v>0</v>
      </c>
      <c r="G56" s="1">
        <v>15000</v>
      </c>
      <c r="H56" s="1">
        <v>1088178</v>
      </c>
    </row>
    <row r="57" spans="1:8">
      <c r="A57" t="s">
        <v>83</v>
      </c>
      <c r="B57" t="s">
        <v>123</v>
      </c>
      <c r="C57" t="s">
        <v>124</v>
      </c>
      <c r="D57" s="4">
        <f>VLOOKUP(C57,SQL!$C$2:$D$212,2,FALSE)</f>
        <v>886198199272</v>
      </c>
      <c r="E57" t="s">
        <v>86</v>
      </c>
      <c r="F57" s="1">
        <v>0</v>
      </c>
      <c r="G57" s="1">
        <v>10000</v>
      </c>
      <c r="H57" s="1">
        <v>1098178</v>
      </c>
    </row>
    <row r="58" spans="1:8">
      <c r="A58" t="s">
        <v>83</v>
      </c>
      <c r="B58" t="s">
        <v>125</v>
      </c>
      <c r="C58" t="s">
        <v>126</v>
      </c>
      <c r="D58" s="4">
        <f>VLOOKUP(C58,SQL!$C$2:$D$212,2,FALSE)</f>
        <v>886198672085</v>
      </c>
      <c r="E58" t="s">
        <v>86</v>
      </c>
      <c r="F58" s="1">
        <v>0</v>
      </c>
      <c r="G58" s="1">
        <v>20000</v>
      </c>
      <c r="H58" s="1">
        <v>1118178</v>
      </c>
    </row>
    <row r="59" spans="1:8">
      <c r="A59" t="s">
        <v>83</v>
      </c>
      <c r="B59" t="s">
        <v>127</v>
      </c>
      <c r="C59" t="s">
        <v>128</v>
      </c>
      <c r="D59" s="4">
        <f>VLOOKUP(C59,SQL!$C$2:$D$212,2,FALSE)</f>
        <v>886198899791</v>
      </c>
      <c r="E59" t="s">
        <v>86</v>
      </c>
      <c r="F59" s="1">
        <v>0</v>
      </c>
      <c r="G59" s="1">
        <v>20000</v>
      </c>
      <c r="H59" s="1">
        <v>1138178</v>
      </c>
    </row>
    <row r="60" spans="1:8">
      <c r="A60" t="s">
        <v>83</v>
      </c>
      <c r="B60" t="s">
        <v>129</v>
      </c>
      <c r="C60" t="s">
        <v>130</v>
      </c>
      <c r="D60" s="4">
        <f>VLOOKUP(C60,SQL!$C$2:$D$212,2,FALSE)</f>
        <v>886198015756</v>
      </c>
      <c r="E60" t="s">
        <v>86</v>
      </c>
      <c r="F60" s="1">
        <v>0</v>
      </c>
      <c r="G60" s="1">
        <v>25000</v>
      </c>
      <c r="H60" s="1">
        <v>1163178</v>
      </c>
    </row>
    <row r="61" spans="1:8">
      <c r="A61" t="s">
        <v>83</v>
      </c>
      <c r="B61" t="s">
        <v>131</v>
      </c>
      <c r="C61" t="s">
        <v>132</v>
      </c>
      <c r="D61" s="4">
        <f>VLOOKUP(C61,SQL!$C$2:$D$212,2,FALSE)</f>
        <v>886198493775</v>
      </c>
      <c r="E61" t="s">
        <v>86</v>
      </c>
      <c r="F61" s="1">
        <v>0</v>
      </c>
      <c r="G61" s="1">
        <v>1000</v>
      </c>
      <c r="H61" s="1">
        <v>1164178</v>
      </c>
    </row>
    <row r="62" spans="1:8">
      <c r="A62" t="s">
        <v>83</v>
      </c>
      <c r="B62" t="s">
        <v>133</v>
      </c>
      <c r="C62" t="s">
        <v>134</v>
      </c>
      <c r="D62" s="4">
        <f>VLOOKUP(C62,SQL!$C$2:$D$212,2,FALSE)</f>
        <v>886198950809</v>
      </c>
      <c r="E62" t="s">
        <v>86</v>
      </c>
      <c r="F62" s="1">
        <v>0</v>
      </c>
      <c r="G62" s="1">
        <v>15000</v>
      </c>
      <c r="H62" s="1">
        <v>1179178</v>
      </c>
    </row>
    <row r="63" spans="1:8">
      <c r="A63" t="s">
        <v>83</v>
      </c>
      <c r="B63" t="s">
        <v>135</v>
      </c>
      <c r="C63" t="s">
        <v>136</v>
      </c>
      <c r="D63" s="4">
        <f>VLOOKUP(C63,SQL!$C$2:$D$212,2,FALSE)</f>
        <v>886198998765</v>
      </c>
      <c r="E63" t="s">
        <v>86</v>
      </c>
      <c r="F63" s="1">
        <v>0</v>
      </c>
      <c r="G63" s="1">
        <v>20000</v>
      </c>
      <c r="H63" s="1">
        <v>377000</v>
      </c>
    </row>
    <row r="64" spans="1:8">
      <c r="A64" t="s">
        <v>83</v>
      </c>
      <c r="B64" t="s">
        <v>137</v>
      </c>
      <c r="C64" t="s">
        <v>138</v>
      </c>
      <c r="D64" s="4">
        <f>VLOOKUP(C64,SQL!$C$2:$D$212,2,FALSE)</f>
        <v>886198147074</v>
      </c>
      <c r="E64" t="s">
        <v>86</v>
      </c>
      <c r="F64" s="1">
        <v>0</v>
      </c>
      <c r="G64" s="1">
        <v>15000</v>
      </c>
      <c r="H64" s="1">
        <v>392000</v>
      </c>
    </row>
    <row r="65" spans="1:8">
      <c r="A65" t="s">
        <v>83</v>
      </c>
      <c r="B65" t="s">
        <v>139</v>
      </c>
      <c r="C65" t="s">
        <v>140</v>
      </c>
      <c r="D65" s="4">
        <f>VLOOKUP(C65,SQL!$C$2:$D$212,2,FALSE)</f>
        <v>886198233642</v>
      </c>
      <c r="E65" t="s">
        <v>86</v>
      </c>
      <c r="F65" s="1">
        <v>0</v>
      </c>
      <c r="G65" s="1">
        <v>9000</v>
      </c>
      <c r="H65" s="1">
        <v>411000</v>
      </c>
    </row>
    <row r="66" spans="1:8">
      <c r="A66" t="s">
        <v>83</v>
      </c>
      <c r="B66" t="s">
        <v>141</v>
      </c>
      <c r="C66" t="s">
        <v>142</v>
      </c>
      <c r="D66" s="4">
        <f>VLOOKUP(C66,SQL!$C$2:$D$212,2,FALSE)</f>
        <v>886198511828</v>
      </c>
      <c r="E66" t="s">
        <v>86</v>
      </c>
      <c r="F66" s="1">
        <v>0</v>
      </c>
      <c r="G66" s="1">
        <v>48000</v>
      </c>
      <c r="H66" s="1">
        <v>459000</v>
      </c>
    </row>
    <row r="67" spans="1:8">
      <c r="A67" t="s">
        <v>83</v>
      </c>
      <c r="B67" t="s">
        <v>143</v>
      </c>
      <c r="C67" t="s">
        <v>144</v>
      </c>
      <c r="D67" s="4">
        <f>VLOOKUP(C67,SQL!$C$2:$D$212,2,FALSE)</f>
        <v>886198461511</v>
      </c>
      <c r="E67" t="s">
        <v>86</v>
      </c>
      <c r="F67" s="1">
        <v>0</v>
      </c>
      <c r="G67" s="1">
        <v>6000</v>
      </c>
      <c r="H67" s="1">
        <v>465000</v>
      </c>
    </row>
    <row r="68" spans="1:8">
      <c r="A68" t="s">
        <v>83</v>
      </c>
      <c r="B68" t="s">
        <v>145</v>
      </c>
      <c r="C68" t="s">
        <v>146</v>
      </c>
      <c r="D68" s="4">
        <f>VLOOKUP(C68,SQL!$C$2:$D$212,2,FALSE)</f>
        <v>886198049940</v>
      </c>
      <c r="E68" t="s">
        <v>86</v>
      </c>
      <c r="F68" s="1">
        <v>0</v>
      </c>
      <c r="G68" s="1">
        <v>40000</v>
      </c>
      <c r="H68" s="1">
        <v>505000</v>
      </c>
    </row>
    <row r="69" spans="1:8">
      <c r="A69" t="s">
        <v>83</v>
      </c>
      <c r="B69" t="s">
        <v>147</v>
      </c>
      <c r="C69" t="s">
        <v>148</v>
      </c>
      <c r="D69" s="4">
        <f>VLOOKUP(C69,SQL!$C$2:$D$212,2,FALSE)</f>
        <v>886198575718</v>
      </c>
      <c r="E69" t="s">
        <v>86</v>
      </c>
      <c r="F69" s="1">
        <v>0</v>
      </c>
      <c r="G69" s="1">
        <v>500</v>
      </c>
      <c r="H69" s="1">
        <v>505500</v>
      </c>
    </row>
    <row r="70" spans="1:8">
      <c r="A70" t="s">
        <v>83</v>
      </c>
      <c r="B70" t="s">
        <v>149</v>
      </c>
      <c r="C70" t="s">
        <v>150</v>
      </c>
      <c r="D70" s="4">
        <f>VLOOKUP(C70,SQL!$C$2:$D$212,2,FALSE)</f>
        <v>886198458515</v>
      </c>
      <c r="E70" t="s">
        <v>86</v>
      </c>
      <c r="F70" s="1">
        <v>0</v>
      </c>
      <c r="G70" s="1">
        <v>40000</v>
      </c>
      <c r="H70" s="1">
        <v>545500</v>
      </c>
    </row>
    <row r="71" spans="1:8">
      <c r="A71" t="s">
        <v>83</v>
      </c>
      <c r="B71" t="s">
        <v>151</v>
      </c>
      <c r="C71" t="s">
        <v>152</v>
      </c>
      <c r="D71" s="4">
        <f>VLOOKUP(C71,SQL!$C$2:$D$212,2,FALSE)</f>
        <v>886198812695</v>
      </c>
      <c r="E71" t="s">
        <v>86</v>
      </c>
      <c r="F71" s="1">
        <v>0</v>
      </c>
      <c r="G71" s="1">
        <v>20000</v>
      </c>
      <c r="H71" s="1">
        <v>565500</v>
      </c>
    </row>
    <row r="72" spans="1:8">
      <c r="A72" t="s">
        <v>83</v>
      </c>
      <c r="B72" t="s">
        <v>153</v>
      </c>
      <c r="C72" t="s">
        <v>154</v>
      </c>
      <c r="D72" s="4">
        <f>VLOOKUP(C72,SQL!$C$2:$D$212,2,FALSE)</f>
        <v>886198170061</v>
      </c>
      <c r="E72" t="s">
        <v>86</v>
      </c>
      <c r="F72" s="1">
        <v>0</v>
      </c>
      <c r="G72" s="1">
        <v>6000</v>
      </c>
      <c r="H72" s="1">
        <v>571500</v>
      </c>
    </row>
    <row r="73" spans="1:8">
      <c r="A73" t="s">
        <v>83</v>
      </c>
      <c r="B73" t="s">
        <v>155</v>
      </c>
      <c r="C73" t="s">
        <v>156</v>
      </c>
      <c r="D73" s="4">
        <f>VLOOKUP(C73,SQL!$C$2:$D$212,2,FALSE)</f>
        <v>886198918006</v>
      </c>
      <c r="E73" t="s">
        <v>86</v>
      </c>
      <c r="F73" s="1">
        <v>0</v>
      </c>
      <c r="G73" s="1">
        <v>25000</v>
      </c>
      <c r="H73" s="1">
        <v>596500</v>
      </c>
    </row>
    <row r="74" spans="1:8">
      <c r="A74" t="s">
        <v>83</v>
      </c>
      <c r="B74" t="s">
        <v>157</v>
      </c>
      <c r="C74" t="s">
        <v>158</v>
      </c>
      <c r="D74" s="4">
        <f>VLOOKUP(C74,SQL!$C$2:$D$212,2,FALSE)</f>
        <v>886198754944</v>
      </c>
      <c r="E74" t="s">
        <v>86</v>
      </c>
      <c r="F74" s="1">
        <v>0</v>
      </c>
      <c r="G74" s="1">
        <v>32000</v>
      </c>
      <c r="H74" s="1">
        <v>628500</v>
      </c>
    </row>
    <row r="75" spans="1:8">
      <c r="A75" t="s">
        <v>83</v>
      </c>
      <c r="B75" t="s">
        <v>159</v>
      </c>
      <c r="C75" t="s">
        <v>160</v>
      </c>
      <c r="D75" s="4">
        <f>VLOOKUP(C75,SQL!$C$2:$D$212,2,FALSE)</f>
        <v>886198774901</v>
      </c>
      <c r="E75" t="s">
        <v>86</v>
      </c>
      <c r="F75" s="1">
        <v>0</v>
      </c>
      <c r="G75" s="1">
        <v>15000</v>
      </c>
      <c r="H75" s="1">
        <v>643500</v>
      </c>
    </row>
    <row r="76" spans="1:8">
      <c r="A76" t="s">
        <v>83</v>
      </c>
      <c r="B76" t="s">
        <v>161</v>
      </c>
      <c r="C76" t="s">
        <v>162</v>
      </c>
      <c r="D76" s="4">
        <f>VLOOKUP(C76,SQL!$C$2:$D$212,2,FALSE)</f>
        <v>886198696816</v>
      </c>
      <c r="E76" t="s">
        <v>86</v>
      </c>
      <c r="F76" s="1">
        <v>0</v>
      </c>
      <c r="G76" s="1">
        <v>20000</v>
      </c>
      <c r="H76" s="1">
        <v>663500</v>
      </c>
    </row>
    <row r="77" spans="1:8">
      <c r="A77" t="s">
        <v>83</v>
      </c>
      <c r="B77" t="s">
        <v>163</v>
      </c>
      <c r="C77" t="s">
        <v>164</v>
      </c>
      <c r="D77" s="4">
        <f>VLOOKUP(C77,SQL!$C$2:$D$212,2,FALSE)</f>
        <v>886198234890</v>
      </c>
      <c r="E77" t="s">
        <v>86</v>
      </c>
      <c r="F77" s="1">
        <v>0</v>
      </c>
      <c r="G77" s="1">
        <v>10000</v>
      </c>
      <c r="H77" s="1">
        <v>673500</v>
      </c>
    </row>
    <row r="78" spans="1:8">
      <c r="A78" t="s">
        <v>83</v>
      </c>
      <c r="B78" t="s">
        <v>165</v>
      </c>
      <c r="C78" t="s">
        <v>166</v>
      </c>
      <c r="D78" s="4">
        <f>VLOOKUP(C78,SQL!$C$2:$D$212,2,FALSE)</f>
        <v>886198272276</v>
      </c>
      <c r="E78" t="s">
        <v>86</v>
      </c>
      <c r="F78" s="1">
        <v>0</v>
      </c>
      <c r="G78" s="1">
        <v>3000</v>
      </c>
      <c r="H78" s="1">
        <v>676500</v>
      </c>
    </row>
    <row r="79" spans="1:8">
      <c r="A79" t="s">
        <v>83</v>
      </c>
      <c r="B79" t="s">
        <v>167</v>
      </c>
      <c r="C79" t="s">
        <v>168</v>
      </c>
      <c r="D79" s="4">
        <f>VLOOKUP(C79,SQL!$C$2:$D$212,2,FALSE)</f>
        <v>886198718974</v>
      </c>
      <c r="E79" t="s">
        <v>86</v>
      </c>
      <c r="F79" s="1">
        <v>0</v>
      </c>
      <c r="G79" s="1">
        <v>1500</v>
      </c>
      <c r="H79" s="1">
        <v>678000</v>
      </c>
    </row>
    <row r="80" spans="1:8">
      <c r="A80" t="s">
        <v>83</v>
      </c>
      <c r="B80" t="s">
        <v>169</v>
      </c>
      <c r="C80" t="s">
        <v>170</v>
      </c>
      <c r="D80" s="4">
        <f>VLOOKUP(C80,SQL!$C$2:$D$212,2,FALSE)</f>
        <v>886198949580</v>
      </c>
      <c r="E80" t="s">
        <v>86</v>
      </c>
      <c r="F80" s="1">
        <v>0</v>
      </c>
      <c r="G80" s="1">
        <v>10000</v>
      </c>
      <c r="H80" s="1">
        <v>688000</v>
      </c>
    </row>
    <row r="81" spans="1:8">
      <c r="A81" t="s">
        <v>83</v>
      </c>
      <c r="B81" t="s">
        <v>171</v>
      </c>
      <c r="C81" t="s">
        <v>172</v>
      </c>
      <c r="D81" s="4">
        <f>VLOOKUP(C81,SQL!$C$2:$D$212,2,FALSE)</f>
        <v>886198249073</v>
      </c>
      <c r="E81" t="s">
        <v>86</v>
      </c>
      <c r="F81" s="1">
        <v>0</v>
      </c>
      <c r="G81" s="1">
        <v>3000</v>
      </c>
      <c r="H81" s="1">
        <v>691000</v>
      </c>
    </row>
    <row r="82" spans="1:8">
      <c r="A82" t="s">
        <v>83</v>
      </c>
      <c r="B82" t="s">
        <v>173</v>
      </c>
      <c r="C82" t="s">
        <v>174</v>
      </c>
      <c r="D82" s="4">
        <f>VLOOKUP(C82,SQL!$C$2:$D$212,2,FALSE)</f>
        <v>886198231177</v>
      </c>
      <c r="E82" t="s">
        <v>86</v>
      </c>
      <c r="F82" s="1">
        <v>0</v>
      </c>
      <c r="G82" s="1">
        <v>20000</v>
      </c>
      <c r="H82" s="1">
        <v>711000</v>
      </c>
    </row>
    <row r="83" spans="1:8">
      <c r="A83" t="s">
        <v>83</v>
      </c>
      <c r="B83" t="s">
        <v>175</v>
      </c>
      <c r="C83" t="s">
        <v>176</v>
      </c>
      <c r="D83" s="4">
        <f>VLOOKUP(C83,SQL!$C$2:$D$212,2,FALSE)</f>
        <v>886198771735</v>
      </c>
      <c r="E83" t="s">
        <v>86</v>
      </c>
      <c r="F83" s="1">
        <v>0</v>
      </c>
      <c r="G83" s="1">
        <v>5000</v>
      </c>
      <c r="H83" s="1">
        <v>716000</v>
      </c>
    </row>
    <row r="84" spans="1:8">
      <c r="A84" t="s">
        <v>83</v>
      </c>
      <c r="B84" t="s">
        <v>177</v>
      </c>
      <c r="C84" t="s">
        <v>178</v>
      </c>
      <c r="D84" s="4">
        <f>VLOOKUP(C84,SQL!$C$2:$D$212,2,FALSE)</f>
        <v>886198038037</v>
      </c>
      <c r="E84" t="s">
        <v>86</v>
      </c>
      <c r="F84" s="1">
        <v>0</v>
      </c>
      <c r="G84" s="1">
        <v>20000</v>
      </c>
      <c r="H84" s="1">
        <v>736000</v>
      </c>
    </row>
    <row r="85" spans="1:8">
      <c r="A85" t="s">
        <v>83</v>
      </c>
      <c r="B85" t="s">
        <v>179</v>
      </c>
      <c r="C85" t="s">
        <v>180</v>
      </c>
      <c r="D85" s="4">
        <f>VLOOKUP(C85,SQL!$C$2:$D$212,2,FALSE)</f>
        <v>886198055656</v>
      </c>
      <c r="E85" t="s">
        <v>86</v>
      </c>
      <c r="F85" s="1">
        <v>0</v>
      </c>
      <c r="G85" s="1">
        <v>5000</v>
      </c>
      <c r="H85" s="1">
        <v>741000</v>
      </c>
    </row>
    <row r="86" spans="1:8">
      <c r="A86" t="s">
        <v>83</v>
      </c>
      <c r="B86" t="s">
        <v>181</v>
      </c>
      <c r="C86" t="s">
        <v>182</v>
      </c>
      <c r="D86" s="4">
        <f>VLOOKUP(C86,SQL!$C$2:$D$212,2,FALSE)</f>
        <v>886198637074</v>
      </c>
      <c r="E86" t="s">
        <v>86</v>
      </c>
      <c r="F86" s="1">
        <v>0</v>
      </c>
      <c r="G86" s="1">
        <v>3000</v>
      </c>
      <c r="H86" s="1">
        <v>744000</v>
      </c>
    </row>
    <row r="87" spans="1:8">
      <c r="A87" t="s">
        <v>83</v>
      </c>
      <c r="B87" t="s">
        <v>183</v>
      </c>
      <c r="C87" t="s">
        <v>184</v>
      </c>
      <c r="D87" s="4">
        <f>VLOOKUP(C87,SQL!$C$2:$D$212,2,FALSE)</f>
        <v>886198072680</v>
      </c>
      <c r="E87" t="s">
        <v>86</v>
      </c>
      <c r="F87" s="1">
        <v>0</v>
      </c>
      <c r="G87" s="1">
        <v>9000</v>
      </c>
      <c r="H87" s="1">
        <v>753000</v>
      </c>
    </row>
    <row r="88" spans="1:8">
      <c r="A88" t="s">
        <v>83</v>
      </c>
      <c r="B88" t="s">
        <v>185</v>
      </c>
      <c r="C88" t="s">
        <v>186</v>
      </c>
      <c r="D88" s="4">
        <f>VLOOKUP(C88,SQL!$C$2:$D$212,2,FALSE)</f>
        <v>886198109819</v>
      </c>
      <c r="E88" t="s">
        <v>86</v>
      </c>
      <c r="F88" s="1">
        <v>0</v>
      </c>
      <c r="G88" s="1">
        <v>20000</v>
      </c>
      <c r="H88" s="1">
        <v>773000</v>
      </c>
    </row>
    <row r="89" spans="1:8">
      <c r="A89" t="s">
        <v>83</v>
      </c>
      <c r="B89" t="s">
        <v>187</v>
      </c>
      <c r="C89" t="s">
        <v>188</v>
      </c>
      <c r="D89" s="4">
        <f>VLOOKUP(C89,SQL!$C$2:$D$212,2,FALSE)</f>
        <v>886198463606</v>
      </c>
      <c r="E89" t="s">
        <v>86</v>
      </c>
      <c r="F89" s="1">
        <v>0</v>
      </c>
      <c r="G89" s="1">
        <v>5000</v>
      </c>
      <c r="H89" s="1">
        <v>778000</v>
      </c>
    </row>
    <row r="90" spans="1:8">
      <c r="A90" t="s">
        <v>83</v>
      </c>
      <c r="B90" t="s">
        <v>189</v>
      </c>
      <c r="C90" t="s">
        <v>190</v>
      </c>
      <c r="D90" s="4">
        <f>VLOOKUP(C90,SQL!$C$2:$D$212,2,FALSE)</f>
        <v>886198811734</v>
      </c>
      <c r="E90" t="s">
        <v>86</v>
      </c>
      <c r="F90" s="1">
        <v>0</v>
      </c>
      <c r="G90" s="1">
        <v>35000</v>
      </c>
      <c r="H90" s="1">
        <v>813000</v>
      </c>
    </row>
    <row r="91" spans="1:8">
      <c r="A91" t="s">
        <v>83</v>
      </c>
      <c r="B91" t="s">
        <v>191</v>
      </c>
      <c r="C91" t="s">
        <v>192</v>
      </c>
      <c r="D91" s="4">
        <f>VLOOKUP(C91,SQL!$C$2:$D$212,2,FALSE)</f>
        <v>886198986754</v>
      </c>
      <c r="E91" t="s">
        <v>86</v>
      </c>
      <c r="F91" s="1">
        <v>0</v>
      </c>
      <c r="G91" s="1">
        <v>30000</v>
      </c>
      <c r="H91" s="1">
        <v>843000</v>
      </c>
    </row>
    <row r="92" spans="1:8">
      <c r="A92" t="s">
        <v>83</v>
      </c>
      <c r="B92" t="s">
        <v>193</v>
      </c>
      <c r="C92" t="s">
        <v>194</v>
      </c>
      <c r="D92" s="4">
        <f>VLOOKUP(C92,SQL!$C$2:$D$212,2,FALSE)</f>
        <v>886198007628</v>
      </c>
      <c r="E92" t="s">
        <v>86</v>
      </c>
      <c r="F92" s="1">
        <v>0</v>
      </c>
      <c r="G92" s="1">
        <v>16000</v>
      </c>
      <c r="H92" s="1">
        <v>859000</v>
      </c>
    </row>
    <row r="93" spans="1:8">
      <c r="A93" t="s">
        <v>83</v>
      </c>
      <c r="B93" t="s">
        <v>195</v>
      </c>
      <c r="C93" t="s">
        <v>196</v>
      </c>
      <c r="D93" s="4">
        <f>VLOOKUP(C93,SQL!$C$2:$D$212,2,FALSE)</f>
        <v>886198545129</v>
      </c>
      <c r="E93" t="s">
        <v>86</v>
      </c>
      <c r="F93" s="1">
        <v>0</v>
      </c>
      <c r="G93" s="1">
        <v>35000</v>
      </c>
      <c r="H93" s="1">
        <v>894000</v>
      </c>
    </row>
    <row r="94" spans="1:8">
      <c r="A94" t="s">
        <v>83</v>
      </c>
      <c r="B94" t="s">
        <v>197</v>
      </c>
      <c r="C94" t="s">
        <v>198</v>
      </c>
      <c r="D94" s="4">
        <f>VLOOKUP(C94,SQL!$C$2:$D$212,2,FALSE)</f>
        <v>886198754914</v>
      </c>
      <c r="E94" t="s">
        <v>86</v>
      </c>
      <c r="F94" s="1">
        <v>0</v>
      </c>
      <c r="G94" s="1">
        <v>500</v>
      </c>
      <c r="H94" s="1">
        <v>894500</v>
      </c>
    </row>
    <row r="95" spans="1:8">
      <c r="A95" t="s">
        <v>83</v>
      </c>
      <c r="B95" t="s">
        <v>199</v>
      </c>
      <c r="C95" t="s">
        <v>200</v>
      </c>
      <c r="D95" s="3">
        <v>876198074691</v>
      </c>
      <c r="E95" t="s">
        <v>86</v>
      </c>
      <c r="F95" s="1">
        <v>0</v>
      </c>
      <c r="G95" s="1">
        <v>172500</v>
      </c>
      <c r="H95" s="1">
        <v>1067000</v>
      </c>
    </row>
    <row r="96" spans="1:8">
      <c r="A96" t="s">
        <v>83</v>
      </c>
      <c r="B96" t="s">
        <v>201</v>
      </c>
      <c r="C96" t="s">
        <v>202</v>
      </c>
      <c r="D96" s="4">
        <f>VLOOKUP(C96,SQL!$C$2:$D$212,2,FALSE)</f>
        <v>886198776988</v>
      </c>
      <c r="E96" t="s">
        <v>86</v>
      </c>
      <c r="F96" s="1">
        <v>0</v>
      </c>
      <c r="G96" s="1">
        <v>25000</v>
      </c>
      <c r="H96" s="1">
        <v>1092000</v>
      </c>
    </row>
    <row r="97" spans="1:8">
      <c r="A97" t="s">
        <v>83</v>
      </c>
      <c r="B97" t="s">
        <v>203</v>
      </c>
      <c r="C97" t="s">
        <v>204</v>
      </c>
      <c r="D97" s="4">
        <f>VLOOKUP(C97,SQL!$C$2:$D$212,2,FALSE)</f>
        <v>886198021172</v>
      </c>
      <c r="E97" t="s">
        <v>86</v>
      </c>
      <c r="F97" s="1">
        <v>0</v>
      </c>
      <c r="G97" s="1">
        <v>500</v>
      </c>
      <c r="H97" s="1">
        <v>1092500</v>
      </c>
    </row>
    <row r="98" spans="1:8">
      <c r="A98" t="s">
        <v>83</v>
      </c>
      <c r="B98" t="s">
        <v>205</v>
      </c>
      <c r="C98" t="s">
        <v>206</v>
      </c>
      <c r="D98" s="4">
        <f>VLOOKUP(C98,SQL!$C$2:$D$212,2,FALSE)</f>
        <v>886198340960</v>
      </c>
      <c r="E98" t="s">
        <v>86</v>
      </c>
      <c r="F98" s="1">
        <v>0</v>
      </c>
      <c r="G98" s="1">
        <v>500</v>
      </c>
      <c r="H98" s="1">
        <v>1093000</v>
      </c>
    </row>
    <row r="99" spans="1:8">
      <c r="A99" t="s">
        <v>83</v>
      </c>
      <c r="B99" t="s">
        <v>207</v>
      </c>
      <c r="C99" t="s">
        <v>208</v>
      </c>
      <c r="D99" s="4">
        <f>VLOOKUP(C99,SQL!$C$2:$D$212,2,FALSE)</f>
        <v>886198176675</v>
      </c>
      <c r="E99" t="s">
        <v>86</v>
      </c>
      <c r="F99" s="1">
        <v>0</v>
      </c>
      <c r="G99" s="1">
        <v>15000</v>
      </c>
      <c r="H99" s="1">
        <v>1108000</v>
      </c>
    </row>
    <row r="100" spans="1:8">
      <c r="A100" t="s">
        <v>83</v>
      </c>
      <c r="B100" t="s">
        <v>209</v>
      </c>
      <c r="C100" t="s">
        <v>210</v>
      </c>
      <c r="D100" s="4">
        <f>VLOOKUP(C100,SQL!$C$2:$D$212,2,FALSE)</f>
        <v>886198669110</v>
      </c>
      <c r="E100" t="s">
        <v>86</v>
      </c>
      <c r="F100" s="1">
        <v>0</v>
      </c>
      <c r="G100" s="1">
        <v>8000</v>
      </c>
      <c r="H100" s="1">
        <v>1116000</v>
      </c>
    </row>
    <row r="101" spans="1:8">
      <c r="A101" t="s">
        <v>83</v>
      </c>
      <c r="B101" t="s">
        <v>211</v>
      </c>
      <c r="C101" t="s">
        <v>212</v>
      </c>
      <c r="D101" s="4">
        <f>VLOOKUP(C101,SQL!$C$2:$D$212,2,FALSE)</f>
        <v>886198972976</v>
      </c>
      <c r="E101" t="s">
        <v>86</v>
      </c>
      <c r="F101" s="1">
        <v>0</v>
      </c>
      <c r="G101" s="1">
        <v>35000</v>
      </c>
      <c r="H101" s="1">
        <v>1151000</v>
      </c>
    </row>
    <row r="102" spans="1:8">
      <c r="A102" t="s">
        <v>83</v>
      </c>
      <c r="B102" t="s">
        <v>213</v>
      </c>
      <c r="C102" t="s">
        <v>214</v>
      </c>
      <c r="D102" s="4">
        <f>VLOOKUP(C102,SQL!$C$2:$D$212,2,FALSE)</f>
        <v>886198599803</v>
      </c>
      <c r="E102" t="s">
        <v>86</v>
      </c>
      <c r="F102" s="1">
        <v>0</v>
      </c>
      <c r="G102" s="1">
        <v>20000</v>
      </c>
      <c r="H102" s="1">
        <v>1171000</v>
      </c>
    </row>
    <row r="103" spans="1:8">
      <c r="A103" t="s">
        <v>83</v>
      </c>
      <c r="B103" t="s">
        <v>215</v>
      </c>
      <c r="C103" t="s">
        <v>216</v>
      </c>
      <c r="D103" s="4">
        <f>VLOOKUP(C103,SQL!$C$2:$D$212,2,FALSE)</f>
        <v>886198061507</v>
      </c>
      <c r="E103" t="s">
        <v>86</v>
      </c>
      <c r="F103" s="1">
        <v>0</v>
      </c>
      <c r="G103" s="1">
        <v>20000</v>
      </c>
      <c r="H103" s="1">
        <v>1191000</v>
      </c>
    </row>
    <row r="104" spans="1:8">
      <c r="A104" t="s">
        <v>83</v>
      </c>
      <c r="B104" t="s">
        <v>217</v>
      </c>
      <c r="C104" t="s">
        <v>218</v>
      </c>
      <c r="D104" s="4">
        <f>VLOOKUP(C104,SQL!$C$2:$D$212,2,FALSE)</f>
        <v>886198610501</v>
      </c>
      <c r="E104" t="s">
        <v>86</v>
      </c>
      <c r="F104" s="1">
        <v>0</v>
      </c>
      <c r="G104" s="1">
        <v>80000</v>
      </c>
      <c r="H104" s="1">
        <v>1271000</v>
      </c>
    </row>
    <row r="105" spans="1:8">
      <c r="A105" t="s">
        <v>83</v>
      </c>
      <c r="B105" t="s">
        <v>219</v>
      </c>
      <c r="C105" t="s">
        <v>220</v>
      </c>
      <c r="D105" s="4">
        <f>VLOOKUP(C105,SQL!$C$2:$D$212,2,FALSE)</f>
        <v>886198941358</v>
      </c>
      <c r="E105" t="s">
        <v>86</v>
      </c>
      <c r="F105" s="1">
        <v>0</v>
      </c>
      <c r="G105" s="1">
        <v>12000</v>
      </c>
      <c r="H105" s="1">
        <v>1283000</v>
      </c>
    </row>
    <row r="106" spans="1:8">
      <c r="A106" t="s">
        <v>83</v>
      </c>
      <c r="B106" t="s">
        <v>221</v>
      </c>
      <c r="C106" t="s">
        <v>222</v>
      </c>
      <c r="D106" s="4">
        <f>VLOOKUP(C106,SQL!$C$2:$D$212,2,FALSE)</f>
        <v>886198308768</v>
      </c>
      <c r="E106" t="s">
        <v>86</v>
      </c>
      <c r="F106" s="1">
        <v>0</v>
      </c>
      <c r="G106" s="1">
        <v>7000</v>
      </c>
      <c r="H106" s="1">
        <v>1290000</v>
      </c>
    </row>
    <row r="107" spans="1:8">
      <c r="A107" t="s">
        <v>83</v>
      </c>
      <c r="B107" t="s">
        <v>223</v>
      </c>
      <c r="C107" t="s">
        <v>224</v>
      </c>
      <c r="D107" s="4">
        <f>VLOOKUP(C107,SQL!$C$2:$D$212,2,FALSE)</f>
        <v>886198358967</v>
      </c>
      <c r="E107" t="s">
        <v>86</v>
      </c>
      <c r="F107" s="1">
        <v>0</v>
      </c>
      <c r="G107" s="1">
        <v>10000</v>
      </c>
      <c r="H107" s="1">
        <v>1300000</v>
      </c>
    </row>
    <row r="108" spans="1:8">
      <c r="A108" t="s">
        <v>83</v>
      </c>
      <c r="B108" t="s">
        <v>225</v>
      </c>
      <c r="C108" t="s">
        <v>226</v>
      </c>
      <c r="D108" s="4">
        <f>VLOOKUP(C108,SQL!$C$2:$D$212,2,FALSE)</f>
        <v>886198105077</v>
      </c>
      <c r="E108" t="s">
        <v>86</v>
      </c>
      <c r="F108" s="1">
        <v>0</v>
      </c>
      <c r="G108" s="1">
        <v>20000</v>
      </c>
      <c r="H108" s="1">
        <v>1320000</v>
      </c>
    </row>
    <row r="109" spans="1:8">
      <c r="A109" t="s">
        <v>83</v>
      </c>
      <c r="B109" t="s">
        <v>227</v>
      </c>
      <c r="C109" t="s">
        <v>228</v>
      </c>
      <c r="D109" s="4">
        <f>VLOOKUP(C109,SQL!$C$2:$D$212,2,FALSE)</f>
        <v>886198031348</v>
      </c>
      <c r="E109" t="s">
        <v>86</v>
      </c>
      <c r="F109" s="1">
        <v>0</v>
      </c>
      <c r="G109" s="1">
        <v>30000</v>
      </c>
      <c r="H109" s="1">
        <v>1350000</v>
      </c>
    </row>
    <row r="110" spans="1:8">
      <c r="A110" t="s">
        <v>83</v>
      </c>
      <c r="B110" t="s">
        <v>229</v>
      </c>
      <c r="C110" t="s">
        <v>230</v>
      </c>
      <c r="D110" s="4">
        <f>VLOOKUP(C110,SQL!$C$2:$D$212,2,FALSE)</f>
        <v>886198513601</v>
      </c>
      <c r="E110" t="s">
        <v>86</v>
      </c>
      <c r="F110" s="1">
        <v>0</v>
      </c>
      <c r="G110" s="1">
        <v>12000</v>
      </c>
      <c r="H110" s="1">
        <v>1362000</v>
      </c>
    </row>
    <row r="111" spans="1:8">
      <c r="A111" t="s">
        <v>83</v>
      </c>
      <c r="B111" t="s">
        <v>231</v>
      </c>
      <c r="C111" t="s">
        <v>232</v>
      </c>
      <c r="D111" s="4">
        <f>VLOOKUP(C111,SQL!$C$2:$D$212,2,FALSE)</f>
        <v>886198676135</v>
      </c>
      <c r="E111" t="s">
        <v>86</v>
      </c>
      <c r="F111" s="1">
        <v>0</v>
      </c>
      <c r="G111" s="1">
        <v>30000</v>
      </c>
      <c r="H111" s="1">
        <v>1392000</v>
      </c>
    </row>
    <row r="112" spans="1:8">
      <c r="A112" t="s">
        <v>83</v>
      </c>
      <c r="B112" t="s">
        <v>233</v>
      </c>
      <c r="C112" t="s">
        <v>234</v>
      </c>
      <c r="D112" s="4">
        <f>VLOOKUP(C112,SQL!$C$2:$D$212,2,FALSE)</f>
        <v>886198180165</v>
      </c>
      <c r="E112" t="s">
        <v>86</v>
      </c>
      <c r="F112" s="1">
        <v>0</v>
      </c>
      <c r="G112" s="1">
        <v>31000</v>
      </c>
      <c r="H112" s="1">
        <v>1423000</v>
      </c>
    </row>
    <row r="113" spans="1:8">
      <c r="A113" t="s">
        <v>83</v>
      </c>
      <c r="B113" t="s">
        <v>235</v>
      </c>
      <c r="C113" t="s">
        <v>236</v>
      </c>
      <c r="D113" s="4">
        <f>VLOOKUP(C113,SQL!$C$2:$D$212,2,FALSE)</f>
        <v>886198837015</v>
      </c>
      <c r="E113" t="s">
        <v>86</v>
      </c>
      <c r="F113" s="1">
        <v>0</v>
      </c>
      <c r="G113" s="1">
        <v>18000</v>
      </c>
      <c r="H113" s="1">
        <v>1441000</v>
      </c>
    </row>
    <row r="114" spans="1:8">
      <c r="A114" t="s">
        <v>83</v>
      </c>
      <c r="B114" t="s">
        <v>237</v>
      </c>
      <c r="C114" t="s">
        <v>238</v>
      </c>
      <c r="D114" s="4">
        <f>VLOOKUP(C114,SQL!$C$2:$D$212,2,FALSE)</f>
        <v>886198525810</v>
      </c>
      <c r="E114" t="s">
        <v>86</v>
      </c>
      <c r="F114" s="1">
        <v>0</v>
      </c>
      <c r="G114" s="1">
        <v>3000</v>
      </c>
      <c r="H114" s="1">
        <v>1444000</v>
      </c>
    </row>
    <row r="115" spans="1:8">
      <c r="A115" t="s">
        <v>83</v>
      </c>
      <c r="B115" t="s">
        <v>239</v>
      </c>
      <c r="C115" t="s">
        <v>240</v>
      </c>
      <c r="D115" s="4">
        <f>VLOOKUP(C115,SQL!$C$2:$D$212,2,FALSE)</f>
        <v>886198958545</v>
      </c>
      <c r="E115" t="s">
        <v>86</v>
      </c>
      <c r="F115" s="1">
        <v>0</v>
      </c>
      <c r="G115" s="1">
        <v>15000</v>
      </c>
      <c r="H115" s="1">
        <v>1459000</v>
      </c>
    </row>
    <row r="116" spans="1:8">
      <c r="A116" t="s">
        <v>83</v>
      </c>
      <c r="B116" t="s">
        <v>241</v>
      </c>
      <c r="C116" t="s">
        <v>242</v>
      </c>
      <c r="D116" s="4">
        <f>VLOOKUP(C116,SQL!$C$2:$D$212,2,FALSE)</f>
        <v>886198186339</v>
      </c>
      <c r="E116" t="s">
        <v>86</v>
      </c>
      <c r="F116" s="1">
        <v>0</v>
      </c>
      <c r="G116" s="1">
        <v>5000</v>
      </c>
      <c r="H116" s="1">
        <v>1464000</v>
      </c>
    </row>
    <row r="117" spans="1:8">
      <c r="A117" t="s">
        <v>83</v>
      </c>
      <c r="B117" t="s">
        <v>243</v>
      </c>
      <c r="C117" t="s">
        <v>244</v>
      </c>
      <c r="D117" s="4">
        <f>VLOOKUP(C117,SQL!$C$2:$D$212,2,FALSE)</f>
        <v>886198133741</v>
      </c>
      <c r="E117" t="s">
        <v>86</v>
      </c>
      <c r="F117" s="1">
        <v>0</v>
      </c>
      <c r="G117" s="1">
        <v>40000</v>
      </c>
      <c r="H117" s="1">
        <v>1504000</v>
      </c>
    </row>
    <row r="118" spans="1:8">
      <c r="A118" t="s">
        <v>83</v>
      </c>
      <c r="B118" t="s">
        <v>245</v>
      </c>
      <c r="C118" t="s">
        <v>246</v>
      </c>
      <c r="D118" s="4">
        <f>VLOOKUP(C118,SQL!$C$2:$D$212,2,FALSE)</f>
        <v>886198976981</v>
      </c>
      <c r="E118" t="s">
        <v>86</v>
      </c>
      <c r="F118" s="1">
        <v>0</v>
      </c>
      <c r="G118" s="1">
        <v>35000</v>
      </c>
      <c r="H118" s="1">
        <v>1539000</v>
      </c>
    </row>
    <row r="119" spans="1:8">
      <c r="A119" t="s">
        <v>83</v>
      </c>
      <c r="B119" t="s">
        <v>247</v>
      </c>
      <c r="C119" t="s">
        <v>248</v>
      </c>
      <c r="D119" s="4">
        <f>VLOOKUP(C119,SQL!$C$2:$D$212,2,FALSE)</f>
        <v>886198157668</v>
      </c>
      <c r="E119" t="s">
        <v>86</v>
      </c>
      <c r="F119" s="1">
        <v>0</v>
      </c>
      <c r="G119" s="1">
        <v>10000</v>
      </c>
      <c r="H119" s="1">
        <v>1549000</v>
      </c>
    </row>
    <row r="120" spans="1:8">
      <c r="A120" t="s">
        <v>83</v>
      </c>
      <c r="B120" t="s">
        <v>249</v>
      </c>
      <c r="C120" t="s">
        <v>250</v>
      </c>
      <c r="D120" s="4">
        <f>VLOOKUP(C120,SQL!$C$2:$D$212,2,FALSE)</f>
        <v>886198497081</v>
      </c>
      <c r="E120" t="s">
        <v>86</v>
      </c>
      <c r="F120" s="1">
        <v>0</v>
      </c>
      <c r="G120" s="1">
        <v>30000</v>
      </c>
      <c r="H120" s="1">
        <v>1579000</v>
      </c>
    </row>
    <row r="121" spans="1:8">
      <c r="A121" t="s">
        <v>83</v>
      </c>
      <c r="B121" t="s">
        <v>251</v>
      </c>
      <c r="C121" t="s">
        <v>252</v>
      </c>
      <c r="D121" s="4">
        <f>VLOOKUP(C121,SQL!$C$2:$D$212,2,FALSE)</f>
        <v>886198690569</v>
      </c>
      <c r="E121" t="s">
        <v>86</v>
      </c>
      <c r="F121" s="1">
        <v>0</v>
      </c>
      <c r="G121" s="1">
        <v>15000</v>
      </c>
      <c r="H121" s="1">
        <v>1594000</v>
      </c>
    </row>
    <row r="122" spans="1:8">
      <c r="A122" t="s">
        <v>83</v>
      </c>
      <c r="B122" t="s">
        <v>253</v>
      </c>
      <c r="C122" t="s">
        <v>254</v>
      </c>
      <c r="D122" s="4">
        <f>VLOOKUP(C122,SQL!$C$2:$D$212,2,FALSE)</f>
        <v>886198041340</v>
      </c>
      <c r="E122" t="s">
        <v>86</v>
      </c>
      <c r="F122" s="1">
        <v>0</v>
      </c>
      <c r="G122" s="1">
        <v>15000</v>
      </c>
      <c r="H122" s="1">
        <v>1609000</v>
      </c>
    </row>
    <row r="123" spans="1:8">
      <c r="A123" t="s">
        <v>83</v>
      </c>
      <c r="B123" t="s">
        <v>255</v>
      </c>
      <c r="C123" t="s">
        <v>256</v>
      </c>
      <c r="D123" s="4">
        <f>VLOOKUP(C123,SQL!$C$2:$D$212,2,FALSE)</f>
        <v>886198041460</v>
      </c>
      <c r="E123" t="s">
        <v>86</v>
      </c>
      <c r="F123" s="1">
        <v>0</v>
      </c>
      <c r="G123" s="1">
        <v>24000</v>
      </c>
      <c r="H123" s="1">
        <v>1633000</v>
      </c>
    </row>
    <row r="124" spans="1:8">
      <c r="A124" t="s">
        <v>83</v>
      </c>
      <c r="B124" t="s">
        <v>257</v>
      </c>
      <c r="C124" t="s">
        <v>258</v>
      </c>
      <c r="D124" s="4">
        <f>VLOOKUP(C124,SQL!$C$2:$D$212,2,FALSE)</f>
        <v>886198779249</v>
      </c>
      <c r="E124" t="s">
        <v>86</v>
      </c>
      <c r="F124" s="1">
        <v>0</v>
      </c>
      <c r="G124" s="1">
        <v>15000</v>
      </c>
      <c r="H124" s="1">
        <v>1648000</v>
      </c>
    </row>
    <row r="125" spans="1:8">
      <c r="A125" t="s">
        <v>83</v>
      </c>
      <c r="B125" t="s">
        <v>259</v>
      </c>
      <c r="C125" t="s">
        <v>260</v>
      </c>
      <c r="D125" s="4">
        <f>VLOOKUP(C125,SQL!$C$2:$D$212,2,FALSE)</f>
        <v>886198538349</v>
      </c>
      <c r="E125" t="s">
        <v>86</v>
      </c>
      <c r="F125" s="1">
        <v>0</v>
      </c>
      <c r="G125" s="1">
        <v>32000</v>
      </c>
      <c r="H125" s="1">
        <v>1680000</v>
      </c>
    </row>
    <row r="126" spans="1:8">
      <c r="A126" t="s">
        <v>83</v>
      </c>
      <c r="B126" t="s">
        <v>261</v>
      </c>
      <c r="C126" t="s">
        <v>262</v>
      </c>
      <c r="D126" s="4">
        <f>VLOOKUP(C126,SQL!$C$2:$D$212,2,FALSE)</f>
        <v>886198628319</v>
      </c>
      <c r="E126" t="s">
        <v>86</v>
      </c>
      <c r="F126" s="1">
        <v>0</v>
      </c>
      <c r="G126" s="1">
        <v>15000</v>
      </c>
      <c r="H126" s="1">
        <v>1695000</v>
      </c>
    </row>
    <row r="127" spans="1:8">
      <c r="A127" t="s">
        <v>83</v>
      </c>
      <c r="B127" t="s">
        <v>263</v>
      </c>
      <c r="C127" t="s">
        <v>264</v>
      </c>
      <c r="D127" s="4">
        <f>VLOOKUP(C127,SQL!$C$2:$D$212,2,FALSE)</f>
        <v>886198790122</v>
      </c>
      <c r="E127" t="s">
        <v>86</v>
      </c>
      <c r="F127" s="1">
        <v>0</v>
      </c>
      <c r="G127" s="1">
        <v>15000</v>
      </c>
      <c r="H127" s="1">
        <v>1710000</v>
      </c>
    </row>
    <row r="128" spans="1:8">
      <c r="A128" t="s">
        <v>83</v>
      </c>
      <c r="B128" t="s">
        <v>265</v>
      </c>
      <c r="C128" t="s">
        <v>266</v>
      </c>
      <c r="D128" s="4">
        <f>VLOOKUP(C128,SQL!$C$2:$D$212,2,FALSE)</f>
        <v>886198307545</v>
      </c>
      <c r="E128" t="s">
        <v>86</v>
      </c>
      <c r="F128" s="1">
        <v>0</v>
      </c>
      <c r="G128" s="1">
        <v>1500</v>
      </c>
      <c r="H128" s="1">
        <v>1711500</v>
      </c>
    </row>
    <row r="129" spans="1:8">
      <c r="A129" t="s">
        <v>83</v>
      </c>
      <c r="B129" t="s">
        <v>267</v>
      </c>
      <c r="C129" t="s">
        <v>268</v>
      </c>
      <c r="D129" s="4">
        <f>VLOOKUP(C129,SQL!$C$2:$D$212,2,FALSE)</f>
        <v>886198273162</v>
      </c>
      <c r="E129" t="s">
        <v>86</v>
      </c>
      <c r="F129" s="1">
        <v>0</v>
      </c>
      <c r="G129" s="1">
        <v>10000</v>
      </c>
      <c r="H129" s="1">
        <v>1721500</v>
      </c>
    </row>
    <row r="130" spans="1:8">
      <c r="A130" t="s">
        <v>83</v>
      </c>
      <c r="B130" t="s">
        <v>269</v>
      </c>
      <c r="C130" t="s">
        <v>270</v>
      </c>
      <c r="D130" s="4">
        <f>VLOOKUP(C130,SQL!$C$2:$D$212,2,FALSE)</f>
        <v>886198235595</v>
      </c>
      <c r="E130" t="s">
        <v>86</v>
      </c>
      <c r="F130" s="1">
        <v>0</v>
      </c>
      <c r="G130" s="1">
        <v>25000</v>
      </c>
      <c r="H130" s="1">
        <v>1746500</v>
      </c>
    </row>
    <row r="131" spans="1:8">
      <c r="A131" t="s">
        <v>83</v>
      </c>
      <c r="B131" t="s">
        <v>271</v>
      </c>
      <c r="C131" t="s">
        <v>272</v>
      </c>
      <c r="D131" s="4">
        <f>VLOOKUP(C131,SQL!$C$2:$D$212,2,FALSE)</f>
        <v>886198604470</v>
      </c>
      <c r="E131" t="s">
        <v>86</v>
      </c>
      <c r="F131" s="1">
        <v>0</v>
      </c>
      <c r="G131" s="1">
        <v>24000</v>
      </c>
      <c r="H131" s="1">
        <v>1770500</v>
      </c>
    </row>
    <row r="132" spans="1:8">
      <c r="A132" t="s">
        <v>83</v>
      </c>
      <c r="B132" t="s">
        <v>273</v>
      </c>
      <c r="C132" t="s">
        <v>274</v>
      </c>
      <c r="D132" s="4">
        <f>VLOOKUP(C132,SQL!$C$2:$D$212,2,FALSE)</f>
        <v>886198787865</v>
      </c>
      <c r="E132" t="s">
        <v>86</v>
      </c>
      <c r="F132" s="1">
        <v>0</v>
      </c>
      <c r="G132" s="1">
        <v>15000</v>
      </c>
      <c r="H132" s="1">
        <v>1785500</v>
      </c>
    </row>
    <row r="133" spans="1:8">
      <c r="A133" t="s">
        <v>83</v>
      </c>
      <c r="B133" t="s">
        <v>275</v>
      </c>
      <c r="C133" t="s">
        <v>276</v>
      </c>
      <c r="D133" s="4">
        <f>VLOOKUP(C133,SQL!$C$2:$D$212,2,FALSE)</f>
        <v>886198713386</v>
      </c>
      <c r="E133" t="s">
        <v>86</v>
      </c>
      <c r="F133" s="1">
        <v>0</v>
      </c>
      <c r="G133" s="1">
        <v>5000</v>
      </c>
      <c r="H133" s="1">
        <v>2369717</v>
      </c>
    </row>
    <row r="134" spans="1:8">
      <c r="A134" t="s">
        <v>83</v>
      </c>
      <c r="B134" t="s">
        <v>277</v>
      </c>
      <c r="C134" t="s">
        <v>278</v>
      </c>
      <c r="D134" s="4">
        <f>VLOOKUP(C134,SQL!$C$2:$D$212,2,FALSE)</f>
        <v>886197848167</v>
      </c>
      <c r="E134" t="s">
        <v>86</v>
      </c>
      <c r="F134" s="1">
        <v>0</v>
      </c>
      <c r="G134" s="1">
        <v>6000</v>
      </c>
      <c r="H134" s="1">
        <v>2375717</v>
      </c>
    </row>
    <row r="135" spans="1:8">
      <c r="A135" t="s">
        <v>83</v>
      </c>
      <c r="B135" t="s">
        <v>279</v>
      </c>
      <c r="C135" t="s">
        <v>280</v>
      </c>
      <c r="D135" s="3">
        <v>886198977332</v>
      </c>
      <c r="E135" t="s">
        <v>86</v>
      </c>
      <c r="F135" s="1">
        <v>0</v>
      </c>
      <c r="G135" s="1">
        <v>5000</v>
      </c>
      <c r="H135" s="1">
        <v>2380717</v>
      </c>
    </row>
    <row r="136" spans="1:8">
      <c r="A136" t="s">
        <v>83</v>
      </c>
      <c r="B136" t="s">
        <v>281</v>
      </c>
      <c r="C136" t="s">
        <v>282</v>
      </c>
      <c r="D136" s="4">
        <f>VLOOKUP(C136,SQL!$C$2:$D$212,2,FALSE)</f>
        <v>886198269650</v>
      </c>
      <c r="E136" t="s">
        <v>86</v>
      </c>
      <c r="F136" s="1">
        <v>0</v>
      </c>
      <c r="G136" s="1">
        <v>500</v>
      </c>
      <c r="H136" s="1">
        <v>2381217</v>
      </c>
    </row>
    <row r="137" spans="1:8">
      <c r="A137" t="s">
        <v>83</v>
      </c>
      <c r="B137" t="s">
        <v>283</v>
      </c>
      <c r="C137" t="s">
        <v>284</v>
      </c>
      <c r="D137" s="4">
        <f>VLOOKUP(C137,SQL!$C$2:$D$212,2,FALSE)</f>
        <v>886198640380</v>
      </c>
      <c r="E137" t="s">
        <v>86</v>
      </c>
      <c r="F137" s="1">
        <v>0</v>
      </c>
      <c r="G137" s="1">
        <v>10000</v>
      </c>
      <c r="H137" s="1">
        <v>2391217</v>
      </c>
    </row>
    <row r="138" spans="1:8">
      <c r="A138" t="s">
        <v>83</v>
      </c>
      <c r="B138" t="s">
        <v>285</v>
      </c>
      <c r="C138" t="s">
        <v>286</v>
      </c>
      <c r="D138" s="4">
        <f>VLOOKUP(C138,SQL!$C$2:$D$212,2,FALSE)</f>
        <v>886198650944</v>
      </c>
      <c r="E138" t="s">
        <v>86</v>
      </c>
      <c r="F138" s="1">
        <v>0</v>
      </c>
      <c r="G138" s="1">
        <v>18000</v>
      </c>
      <c r="H138" s="1">
        <v>2409217</v>
      </c>
    </row>
    <row r="139" spans="1:8">
      <c r="A139" t="s">
        <v>287</v>
      </c>
      <c r="B139" t="s">
        <v>288</v>
      </c>
      <c r="C139" t="s">
        <v>289</v>
      </c>
      <c r="D139" s="4">
        <f>VLOOKUP(C139,SQL!$C$2:$D$212,2,FALSE)</f>
        <v>886199156254</v>
      </c>
      <c r="E139" t="s">
        <v>290</v>
      </c>
      <c r="F139" s="1">
        <v>0</v>
      </c>
      <c r="G139" s="1">
        <v>5000</v>
      </c>
      <c r="H139" s="1">
        <v>2414217</v>
      </c>
    </row>
    <row r="140" spans="1:8">
      <c r="A140" t="s">
        <v>287</v>
      </c>
      <c r="B140" t="s">
        <v>291</v>
      </c>
      <c r="C140" t="s">
        <v>292</v>
      </c>
      <c r="D140" s="4">
        <f>VLOOKUP(C140,SQL!$C$2:$D$212,2,FALSE)</f>
        <v>886199294215</v>
      </c>
      <c r="E140" t="s">
        <v>290</v>
      </c>
      <c r="F140" s="1">
        <v>0</v>
      </c>
      <c r="G140" s="1">
        <v>24000</v>
      </c>
      <c r="H140" s="1">
        <v>2438217</v>
      </c>
    </row>
    <row r="141" spans="1:8">
      <c r="A141" t="s">
        <v>287</v>
      </c>
      <c r="B141" t="s">
        <v>293</v>
      </c>
      <c r="C141" t="s">
        <v>294</v>
      </c>
      <c r="D141" s="4">
        <f>VLOOKUP(C141,SQL!$C$2:$D$212,2,FALSE)</f>
        <v>886199194451</v>
      </c>
      <c r="E141" t="s">
        <v>290</v>
      </c>
      <c r="F141" s="1">
        <v>0</v>
      </c>
      <c r="G141" s="1">
        <v>20000</v>
      </c>
      <c r="H141" s="1">
        <v>2458217</v>
      </c>
    </row>
    <row r="142" spans="1:8">
      <c r="A142" t="s">
        <v>287</v>
      </c>
      <c r="B142" t="s">
        <v>295</v>
      </c>
      <c r="C142" t="s">
        <v>296</v>
      </c>
      <c r="D142" s="4">
        <f>VLOOKUP(C142,SQL!$C$2:$D$212,2,FALSE)</f>
        <v>886199045745</v>
      </c>
      <c r="E142" t="s">
        <v>290</v>
      </c>
      <c r="F142" s="1">
        <v>0</v>
      </c>
      <c r="G142" s="1">
        <v>15000</v>
      </c>
      <c r="H142" s="1">
        <v>2473217</v>
      </c>
    </row>
    <row r="143" spans="1:8">
      <c r="A143" t="s">
        <v>287</v>
      </c>
      <c r="B143" t="s">
        <v>297</v>
      </c>
      <c r="C143" t="s">
        <v>298</v>
      </c>
      <c r="D143" s="4">
        <f>VLOOKUP(C143,SQL!$C$2:$D$212,2,FALSE)</f>
        <v>876199648939</v>
      </c>
      <c r="E143" t="s">
        <v>290</v>
      </c>
      <c r="F143" s="1">
        <v>0</v>
      </c>
      <c r="G143" s="1">
        <v>25000</v>
      </c>
      <c r="H143" s="1">
        <v>2498217</v>
      </c>
    </row>
    <row r="144" spans="1:8">
      <c r="A144" t="s">
        <v>287</v>
      </c>
      <c r="B144" t="s">
        <v>299</v>
      </c>
      <c r="C144" t="s">
        <v>300</v>
      </c>
      <c r="D144" s="4">
        <f>VLOOKUP(C144,SQL!$C$2:$D$212,2,FALSE)</f>
        <v>886199367393</v>
      </c>
      <c r="E144" t="s">
        <v>290</v>
      </c>
      <c r="F144" s="1">
        <v>0</v>
      </c>
      <c r="G144" s="1">
        <v>15000</v>
      </c>
      <c r="H144" s="1">
        <v>2513217</v>
      </c>
    </row>
    <row r="145" spans="1:8">
      <c r="A145" t="s">
        <v>287</v>
      </c>
      <c r="B145" t="s">
        <v>301</v>
      </c>
      <c r="C145" t="s">
        <v>302</v>
      </c>
      <c r="D145" s="3">
        <v>886199397597</v>
      </c>
      <c r="E145" t="s">
        <v>290</v>
      </c>
      <c r="F145" s="1">
        <v>0</v>
      </c>
      <c r="G145" s="1">
        <v>20000</v>
      </c>
      <c r="H145" s="1">
        <v>2533217</v>
      </c>
    </row>
    <row r="146" spans="1:8">
      <c r="A146" t="s">
        <v>287</v>
      </c>
      <c r="B146" t="s">
        <v>303</v>
      </c>
      <c r="C146" t="s">
        <v>304</v>
      </c>
      <c r="D146" s="4">
        <v>886199467974</v>
      </c>
      <c r="E146" t="s">
        <v>290</v>
      </c>
      <c r="F146" s="1">
        <v>0</v>
      </c>
      <c r="G146" s="1">
        <v>6000</v>
      </c>
      <c r="H146" s="1">
        <v>440008</v>
      </c>
    </row>
    <row r="147" spans="1:8">
      <c r="A147" t="s">
        <v>287</v>
      </c>
      <c r="B147" t="s">
        <v>305</v>
      </c>
      <c r="C147" t="s">
        <v>306</v>
      </c>
      <c r="D147" s="4">
        <f>VLOOKUP(C147,SQL!$C$2:$D$212,2,FALSE)</f>
        <v>886199988373</v>
      </c>
      <c r="E147" t="s">
        <v>290</v>
      </c>
      <c r="F147" s="1">
        <v>0</v>
      </c>
      <c r="G147" s="1">
        <v>6000</v>
      </c>
      <c r="H147" s="1">
        <v>2539217</v>
      </c>
    </row>
    <row r="148" spans="1:8">
      <c r="A148" t="s">
        <v>287</v>
      </c>
      <c r="B148" t="s">
        <v>307</v>
      </c>
      <c r="C148" t="s">
        <v>308</v>
      </c>
      <c r="D148" s="4">
        <f>VLOOKUP(C148,SQL!$C$2:$D$212,2,FALSE)</f>
        <v>886199330649</v>
      </c>
      <c r="E148" t="s">
        <v>290</v>
      </c>
      <c r="F148" s="1">
        <v>0</v>
      </c>
      <c r="G148" s="1">
        <v>10000</v>
      </c>
      <c r="H148" s="1">
        <v>2549217</v>
      </c>
    </row>
    <row r="149" spans="1:8">
      <c r="A149" t="s">
        <v>287</v>
      </c>
      <c r="B149" t="s">
        <v>309</v>
      </c>
      <c r="C149" t="s">
        <v>310</v>
      </c>
      <c r="D149" s="3">
        <v>886199533161</v>
      </c>
      <c r="E149" t="s">
        <v>290</v>
      </c>
      <c r="F149" s="1">
        <v>0</v>
      </c>
      <c r="G149" s="1">
        <v>5000</v>
      </c>
      <c r="H149" s="1">
        <v>2554217</v>
      </c>
    </row>
    <row r="150" spans="1:8">
      <c r="A150" t="s">
        <v>287</v>
      </c>
      <c r="B150" t="s">
        <v>311</v>
      </c>
      <c r="C150" t="s">
        <v>312</v>
      </c>
      <c r="D150" s="4">
        <f>VLOOKUP(C150,SQL!$C$2:$D$212,2,FALSE)</f>
        <v>886199291643</v>
      </c>
      <c r="E150" t="s">
        <v>290</v>
      </c>
      <c r="F150" s="1">
        <v>0</v>
      </c>
      <c r="G150" s="1">
        <v>12000</v>
      </c>
      <c r="H150" s="1">
        <v>2566217</v>
      </c>
    </row>
    <row r="151" spans="1:8">
      <c r="A151" t="s">
        <v>287</v>
      </c>
      <c r="B151" t="s">
        <v>313</v>
      </c>
      <c r="C151" t="s">
        <v>314</v>
      </c>
      <c r="D151" s="4">
        <f>VLOOKUP(C151,SQL!$C$2:$D$212,2,FALSE)</f>
        <v>886199457840</v>
      </c>
      <c r="E151" t="s">
        <v>290</v>
      </c>
      <c r="F151" s="1">
        <v>0</v>
      </c>
      <c r="G151" s="1">
        <v>30000</v>
      </c>
      <c r="H151" s="1">
        <v>2596217</v>
      </c>
    </row>
    <row r="152" spans="1:8">
      <c r="A152" t="s">
        <v>287</v>
      </c>
      <c r="B152" t="s">
        <v>315</v>
      </c>
      <c r="C152" t="s">
        <v>316</v>
      </c>
      <c r="D152" s="4">
        <f>VLOOKUP(C152,SQL!$C$2:$D$212,2,FALSE)</f>
        <v>886199578024</v>
      </c>
      <c r="E152" t="s">
        <v>290</v>
      </c>
      <c r="F152" s="1">
        <v>0</v>
      </c>
      <c r="G152" s="1">
        <v>10000</v>
      </c>
      <c r="H152" s="1">
        <v>2606217</v>
      </c>
    </row>
    <row r="153" spans="1:8">
      <c r="A153" t="s">
        <v>287</v>
      </c>
      <c r="B153" t="s">
        <v>317</v>
      </c>
      <c r="C153" t="s">
        <v>318</v>
      </c>
      <c r="D153" s="4">
        <f>VLOOKUP(C153,SQL!$C$2:$D$212,2,FALSE)</f>
        <v>886199695337</v>
      </c>
      <c r="E153" t="s">
        <v>290</v>
      </c>
      <c r="F153" s="1">
        <v>0</v>
      </c>
      <c r="G153" s="1">
        <v>18000</v>
      </c>
      <c r="H153" s="1">
        <v>2624217</v>
      </c>
    </row>
    <row r="154" spans="1:8">
      <c r="A154" t="s">
        <v>287</v>
      </c>
      <c r="B154" t="s">
        <v>319</v>
      </c>
      <c r="C154" t="s">
        <v>320</v>
      </c>
      <c r="D154" s="4">
        <f>VLOOKUP(C154,SQL!$C$2:$D$212,2,FALSE)</f>
        <v>886199543269</v>
      </c>
      <c r="E154" t="s">
        <v>290</v>
      </c>
      <c r="F154" s="1">
        <v>0</v>
      </c>
      <c r="G154" s="1">
        <v>10000</v>
      </c>
      <c r="H154" s="1">
        <v>2634217</v>
      </c>
    </row>
    <row r="155" spans="1:8">
      <c r="A155" t="s">
        <v>287</v>
      </c>
      <c r="B155" t="s">
        <v>321</v>
      </c>
      <c r="C155" t="s">
        <v>322</v>
      </c>
      <c r="D155" s="4">
        <f>VLOOKUP(C155,SQL!$C$2:$D$212,2,FALSE)</f>
        <v>886199810985</v>
      </c>
      <c r="E155" t="s">
        <v>290</v>
      </c>
      <c r="F155" s="1">
        <v>0</v>
      </c>
      <c r="G155" s="1">
        <v>8000</v>
      </c>
      <c r="H155" s="1">
        <v>2642217</v>
      </c>
    </row>
    <row r="156" spans="1:8">
      <c r="A156" t="s">
        <v>287</v>
      </c>
      <c r="B156" t="s">
        <v>323</v>
      </c>
      <c r="C156" t="s">
        <v>324</v>
      </c>
      <c r="D156" s="4">
        <f>VLOOKUP(C156,SQL!$C$2:$D$212,2,FALSE)</f>
        <v>886199634345</v>
      </c>
      <c r="E156" t="s">
        <v>290</v>
      </c>
      <c r="F156" s="1">
        <v>0</v>
      </c>
      <c r="G156" s="1">
        <v>15000</v>
      </c>
      <c r="H156" s="1">
        <v>2657217</v>
      </c>
    </row>
    <row r="157" spans="1:8">
      <c r="A157" t="s">
        <v>287</v>
      </c>
      <c r="B157" t="s">
        <v>325</v>
      </c>
      <c r="C157" t="s">
        <v>326</v>
      </c>
      <c r="D157" s="4">
        <f>VLOOKUP(C157,SQL!$C$2:$D$212,2,FALSE)</f>
        <v>886199689647</v>
      </c>
      <c r="E157" t="s">
        <v>290</v>
      </c>
      <c r="F157" s="1">
        <v>0</v>
      </c>
      <c r="G157" s="1">
        <v>8000</v>
      </c>
      <c r="H157" s="1">
        <v>2665217</v>
      </c>
    </row>
    <row r="158" spans="1:8">
      <c r="A158" t="s">
        <v>287</v>
      </c>
      <c r="B158" t="s">
        <v>327</v>
      </c>
      <c r="C158" t="s">
        <v>328</v>
      </c>
      <c r="D158" s="4">
        <f>VLOOKUP(C158,SQL!$C$2:$D$212,2,FALSE)</f>
        <v>886199131310</v>
      </c>
      <c r="E158" t="s">
        <v>290</v>
      </c>
      <c r="F158" s="1">
        <v>0</v>
      </c>
      <c r="G158" s="1">
        <v>24000</v>
      </c>
      <c r="H158" s="1">
        <v>2689217</v>
      </c>
    </row>
    <row r="159" spans="1:8">
      <c r="A159" t="s">
        <v>287</v>
      </c>
      <c r="B159" t="s">
        <v>329</v>
      </c>
      <c r="C159" t="s">
        <v>330</v>
      </c>
      <c r="D159" s="4">
        <f>VLOOKUP(C159,SQL!$C$2:$D$212,2,FALSE)</f>
        <v>886199169841</v>
      </c>
      <c r="E159" t="s">
        <v>290</v>
      </c>
      <c r="F159" s="1">
        <v>0</v>
      </c>
      <c r="G159" s="1">
        <v>10000</v>
      </c>
      <c r="H159" s="1">
        <v>2699217</v>
      </c>
    </row>
    <row r="160" spans="1:8">
      <c r="A160" t="s">
        <v>287</v>
      </c>
      <c r="B160" t="s">
        <v>331</v>
      </c>
      <c r="C160" t="s">
        <v>332</v>
      </c>
      <c r="D160" s="4">
        <f>VLOOKUP(C160,SQL!$C$2:$D$212,2,FALSE)</f>
        <v>886199835296</v>
      </c>
      <c r="E160" t="s">
        <v>290</v>
      </c>
      <c r="F160" s="1">
        <v>0</v>
      </c>
      <c r="G160" s="1">
        <v>20000</v>
      </c>
      <c r="H160" s="1">
        <v>2719217</v>
      </c>
    </row>
    <row r="161" spans="1:8">
      <c r="A161" t="s">
        <v>287</v>
      </c>
      <c r="B161" t="s">
        <v>333</v>
      </c>
      <c r="C161" t="s">
        <v>334</v>
      </c>
      <c r="D161" s="4">
        <f>VLOOKUP(C161,SQL!$C$2:$D$212,2,FALSE)</f>
        <v>886199084400</v>
      </c>
      <c r="E161" t="s">
        <v>290</v>
      </c>
      <c r="F161" s="1">
        <v>0</v>
      </c>
      <c r="G161" s="1">
        <v>10000</v>
      </c>
      <c r="H161" s="1">
        <v>2729217</v>
      </c>
    </row>
    <row r="162" spans="1:8">
      <c r="A162" t="s">
        <v>287</v>
      </c>
      <c r="B162" t="s">
        <v>335</v>
      </c>
      <c r="C162" t="s">
        <v>336</v>
      </c>
      <c r="D162" s="4">
        <f>VLOOKUP(C162,SQL!$C$2:$D$212,2,FALSE)</f>
        <v>886199392528</v>
      </c>
      <c r="E162" t="s">
        <v>290</v>
      </c>
      <c r="F162" s="1">
        <v>0</v>
      </c>
      <c r="G162" s="1">
        <v>3000</v>
      </c>
      <c r="H162" s="1">
        <v>2732217</v>
      </c>
    </row>
    <row r="163" spans="1:8">
      <c r="A163" t="s">
        <v>287</v>
      </c>
      <c r="B163" t="s">
        <v>337</v>
      </c>
      <c r="C163" t="s">
        <v>338</v>
      </c>
      <c r="D163" s="4">
        <f>VLOOKUP(C163,SQL!$C$2:$D$212,2,FALSE)</f>
        <v>886199467974</v>
      </c>
      <c r="E163" t="s">
        <v>290</v>
      </c>
      <c r="F163" s="1">
        <v>0</v>
      </c>
      <c r="G163" s="1">
        <v>6000</v>
      </c>
      <c r="H163" s="1">
        <v>2738217</v>
      </c>
    </row>
    <row r="164" spans="1:8">
      <c r="A164" t="s">
        <v>287</v>
      </c>
      <c r="B164" t="s">
        <v>339</v>
      </c>
      <c r="C164" t="s">
        <v>340</v>
      </c>
      <c r="D164" s="4">
        <f>VLOOKUP(C164,SQL!$C$2:$D$212,2,FALSE)</f>
        <v>886199601608</v>
      </c>
      <c r="E164" t="s">
        <v>290</v>
      </c>
      <c r="F164" s="1">
        <v>0</v>
      </c>
      <c r="G164" s="1">
        <v>27000</v>
      </c>
      <c r="H164" s="1">
        <v>358000</v>
      </c>
    </row>
    <row r="165" spans="1:8">
      <c r="A165" t="s">
        <v>287</v>
      </c>
      <c r="B165" t="s">
        <v>341</v>
      </c>
      <c r="C165" t="s">
        <v>342</v>
      </c>
      <c r="D165" s="4">
        <f>VLOOKUP(C165,SQL!$C$2:$D$212,2,FALSE)</f>
        <v>886199384916</v>
      </c>
      <c r="E165" t="s">
        <v>290</v>
      </c>
      <c r="F165" s="1">
        <v>0</v>
      </c>
      <c r="G165" s="1">
        <v>32000</v>
      </c>
      <c r="H165" s="1">
        <v>390000</v>
      </c>
    </row>
    <row r="166" spans="1:8">
      <c r="A166" t="s">
        <v>287</v>
      </c>
      <c r="B166" t="s">
        <v>343</v>
      </c>
      <c r="C166" t="s">
        <v>344</v>
      </c>
      <c r="D166" s="3">
        <v>886199712600</v>
      </c>
      <c r="E166" t="s">
        <v>290</v>
      </c>
      <c r="F166" s="1">
        <v>0</v>
      </c>
      <c r="G166" s="1">
        <v>22008</v>
      </c>
      <c r="H166" s="1">
        <v>412008</v>
      </c>
    </row>
    <row r="167" spans="1:8">
      <c r="A167" t="s">
        <v>287</v>
      </c>
      <c r="B167" t="s">
        <v>345</v>
      </c>
      <c r="C167" t="s">
        <v>346</v>
      </c>
      <c r="D167" s="4">
        <f>VLOOKUP(C167,SQL!$C$2:$D$212,2,FALSE)</f>
        <v>886199937817</v>
      </c>
      <c r="E167" t="s">
        <v>290</v>
      </c>
      <c r="F167" s="1">
        <v>0</v>
      </c>
      <c r="G167" s="1">
        <v>10000</v>
      </c>
      <c r="H167" s="1">
        <v>422008</v>
      </c>
    </row>
    <row r="168" spans="1:8">
      <c r="A168" t="s">
        <v>287</v>
      </c>
      <c r="B168" t="s">
        <v>347</v>
      </c>
      <c r="C168" t="s">
        <v>348</v>
      </c>
      <c r="D168" s="4">
        <f>VLOOKUP(C168,SQL!$C$2:$D$212,2,FALSE)</f>
        <v>886199545892</v>
      </c>
      <c r="E168" t="s">
        <v>290</v>
      </c>
      <c r="F168" s="1">
        <v>0</v>
      </c>
      <c r="G168" s="1">
        <v>12000</v>
      </c>
      <c r="H168" s="1">
        <v>434008</v>
      </c>
    </row>
    <row r="169" spans="1:8">
      <c r="A169" t="s">
        <v>287</v>
      </c>
      <c r="B169" t="s">
        <v>349</v>
      </c>
      <c r="C169" t="s">
        <v>350</v>
      </c>
      <c r="D169" s="4">
        <f>VLOOKUP(C169,SQL!$C$2:$D$212,2,FALSE)</f>
        <v>886199113438</v>
      </c>
      <c r="E169" t="s">
        <v>290</v>
      </c>
      <c r="F169" s="1">
        <v>0</v>
      </c>
      <c r="G169" s="1">
        <v>20000</v>
      </c>
      <c r="H169" s="1">
        <v>460008</v>
      </c>
    </row>
    <row r="170" spans="1:8">
      <c r="A170" t="s">
        <v>287</v>
      </c>
      <c r="B170" t="s">
        <v>351</v>
      </c>
      <c r="C170" t="s">
        <v>352</v>
      </c>
      <c r="D170" s="4">
        <f>VLOOKUP(C170,SQL!$C$2:$D$212,2,FALSE)</f>
        <v>886198935489</v>
      </c>
      <c r="E170" t="s">
        <v>290</v>
      </c>
      <c r="F170" s="1">
        <v>0</v>
      </c>
      <c r="G170" s="1">
        <v>15000</v>
      </c>
      <c r="H170" s="1">
        <v>475008</v>
      </c>
    </row>
    <row r="171" spans="1:8">
      <c r="A171" t="s">
        <v>353</v>
      </c>
      <c r="B171" t="s">
        <v>354</v>
      </c>
      <c r="C171" t="s">
        <v>355</v>
      </c>
      <c r="D171" s="4">
        <f>VLOOKUP(C171,SQL!$C$2:$D$212,2,FALSE)</f>
        <v>886200768063</v>
      </c>
      <c r="E171" t="s">
        <v>356</v>
      </c>
      <c r="F171" s="1">
        <v>0</v>
      </c>
      <c r="G171" s="1">
        <v>500</v>
      </c>
      <c r="H171" s="1">
        <v>475508</v>
      </c>
    </row>
    <row r="172" spans="1:8">
      <c r="A172" t="s">
        <v>353</v>
      </c>
      <c r="B172" t="s">
        <v>357</v>
      </c>
      <c r="C172" t="s">
        <v>358</v>
      </c>
      <c r="D172" s="4">
        <f>VLOOKUP(C172,SQL!$C$2:$D$212,2,FALSE)</f>
        <v>886200402570</v>
      </c>
      <c r="E172" t="s">
        <v>356</v>
      </c>
      <c r="F172" s="1">
        <v>0</v>
      </c>
      <c r="G172" s="1">
        <v>500</v>
      </c>
      <c r="H172" s="1">
        <v>476008</v>
      </c>
    </row>
    <row r="173" spans="1:8">
      <c r="A173" t="s">
        <v>353</v>
      </c>
      <c r="B173" t="s">
        <v>359</v>
      </c>
      <c r="C173" t="s">
        <v>360</v>
      </c>
      <c r="D173" s="4">
        <f>VLOOKUP(C173,SQL!$C$2:$D$212,2,FALSE)</f>
        <v>886200082787</v>
      </c>
      <c r="E173" t="s">
        <v>356</v>
      </c>
      <c r="F173" s="1">
        <v>0</v>
      </c>
      <c r="G173" s="1">
        <v>5000</v>
      </c>
      <c r="H173" s="1">
        <v>481008</v>
      </c>
    </row>
    <row r="174" spans="1:8">
      <c r="A174" t="s">
        <v>353</v>
      </c>
      <c r="B174" t="s">
        <v>361</v>
      </c>
      <c r="C174" t="s">
        <v>362</v>
      </c>
      <c r="D174" s="4">
        <f>VLOOKUP(C174,SQL!$C$2:$D$212,2,FALSE)</f>
        <v>886200671352</v>
      </c>
      <c r="E174" t="s">
        <v>356</v>
      </c>
      <c r="F174" s="1">
        <v>0</v>
      </c>
      <c r="G174" s="1">
        <v>500</v>
      </c>
      <c r="H174" s="1">
        <v>481508</v>
      </c>
    </row>
    <row r="175" spans="1:8">
      <c r="A175" t="s">
        <v>353</v>
      </c>
      <c r="B175" t="s">
        <v>363</v>
      </c>
      <c r="C175" t="s">
        <v>364</v>
      </c>
      <c r="D175" s="4">
        <f>VLOOKUP(C175,SQL!$C$2:$D$212,2,FALSE)</f>
        <v>886200142834</v>
      </c>
      <c r="E175" t="s">
        <v>356</v>
      </c>
      <c r="F175" s="1">
        <v>0</v>
      </c>
      <c r="G175" s="1">
        <v>500</v>
      </c>
      <c r="H175" s="1">
        <v>482008</v>
      </c>
    </row>
    <row r="176" spans="1:8">
      <c r="A176" t="s">
        <v>353</v>
      </c>
      <c r="B176" t="s">
        <v>365</v>
      </c>
      <c r="C176" t="s">
        <v>366</v>
      </c>
      <c r="D176" s="4">
        <f>VLOOKUP(C176,SQL!$C$2:$D$212,2,FALSE)</f>
        <v>886200546583</v>
      </c>
      <c r="E176" t="s">
        <v>356</v>
      </c>
      <c r="F176" s="1">
        <v>0</v>
      </c>
      <c r="G176" s="1">
        <v>500</v>
      </c>
      <c r="H176" s="1">
        <v>482508</v>
      </c>
    </row>
    <row r="177" spans="1:8">
      <c r="A177" t="s">
        <v>353</v>
      </c>
      <c r="B177" t="s">
        <v>367</v>
      </c>
      <c r="C177" t="s">
        <v>368</v>
      </c>
      <c r="D177" s="4">
        <f>VLOOKUP(C177,SQL!$C$2:$D$212,2,FALSE)</f>
        <v>886200706903</v>
      </c>
      <c r="E177" t="s">
        <v>356</v>
      </c>
      <c r="F177" s="1">
        <v>0</v>
      </c>
      <c r="G177" s="1">
        <v>500</v>
      </c>
      <c r="H177" s="1">
        <v>483008</v>
      </c>
    </row>
    <row r="178" spans="1:8">
      <c r="A178" t="s">
        <v>353</v>
      </c>
      <c r="B178" t="s">
        <v>369</v>
      </c>
      <c r="C178" t="s">
        <v>370</v>
      </c>
      <c r="D178" s="4">
        <f>VLOOKUP(C178,SQL!$C$2:$D$212,2,FALSE)</f>
        <v>886200299785</v>
      </c>
      <c r="E178" t="s">
        <v>356</v>
      </c>
      <c r="F178" s="1">
        <v>0</v>
      </c>
      <c r="G178" s="1">
        <v>500</v>
      </c>
      <c r="H178" s="1">
        <v>483508</v>
      </c>
    </row>
    <row r="179" spans="1:8">
      <c r="A179" t="s">
        <v>353</v>
      </c>
      <c r="B179" t="s">
        <v>371</v>
      </c>
      <c r="C179" t="s">
        <v>372</v>
      </c>
      <c r="D179" s="4">
        <f>VLOOKUP(C179,SQL!$C$2:$D$212,2,FALSE)</f>
        <v>886200933242</v>
      </c>
      <c r="E179" t="s">
        <v>356</v>
      </c>
      <c r="F179" s="1">
        <v>0</v>
      </c>
      <c r="G179" s="1">
        <v>30000</v>
      </c>
      <c r="H179" s="1">
        <v>513508</v>
      </c>
    </row>
    <row r="180" spans="1:8">
      <c r="A180" t="s">
        <v>353</v>
      </c>
      <c r="B180" t="s">
        <v>373</v>
      </c>
      <c r="C180" t="s">
        <v>374</v>
      </c>
      <c r="D180" s="4">
        <f>VLOOKUP(C180,SQL!$C$2:$D$212,2,FALSE)</f>
        <v>886200093730</v>
      </c>
      <c r="E180" t="s">
        <v>356</v>
      </c>
      <c r="F180" s="1">
        <v>0</v>
      </c>
      <c r="G180" s="1">
        <v>15000</v>
      </c>
      <c r="H180" s="1">
        <v>528508</v>
      </c>
    </row>
    <row r="181" spans="1:8">
      <c r="A181" t="s">
        <v>353</v>
      </c>
      <c r="B181" t="s">
        <v>375</v>
      </c>
      <c r="C181" t="s">
        <v>376</v>
      </c>
      <c r="D181" s="4">
        <f>VLOOKUP(C181,SQL!$C$2:$D$212,2,FALSE)</f>
        <v>886200242284</v>
      </c>
      <c r="E181" t="s">
        <v>356</v>
      </c>
      <c r="F181" s="1">
        <v>0</v>
      </c>
      <c r="G181" s="1">
        <v>500</v>
      </c>
      <c r="H181" s="1">
        <v>529008</v>
      </c>
    </row>
    <row r="182" spans="1:8">
      <c r="A182" t="s">
        <v>353</v>
      </c>
      <c r="B182" t="s">
        <v>377</v>
      </c>
      <c r="C182" t="s">
        <v>378</v>
      </c>
      <c r="D182" s="4">
        <f>VLOOKUP(C182,SQL!$C$2:$D$212,2,FALSE)</f>
        <v>886200477479</v>
      </c>
      <c r="E182" t="s">
        <v>356</v>
      </c>
      <c r="F182" s="1">
        <v>0</v>
      </c>
      <c r="G182" s="1">
        <v>500</v>
      </c>
      <c r="H182" s="1">
        <v>529508</v>
      </c>
    </row>
    <row r="183" spans="1:8">
      <c r="A183" t="s">
        <v>353</v>
      </c>
      <c r="B183" t="s">
        <v>379</v>
      </c>
      <c r="C183" t="s">
        <v>380</v>
      </c>
      <c r="D183" s="4">
        <f>VLOOKUP(C183,SQL!$C$2:$D$212,2,FALSE)</f>
        <v>886200262684</v>
      </c>
      <c r="E183" t="s">
        <v>356</v>
      </c>
      <c r="F183" s="1">
        <v>0</v>
      </c>
      <c r="G183" s="1">
        <v>500</v>
      </c>
      <c r="H183" s="1">
        <v>530008</v>
      </c>
    </row>
    <row r="184" spans="1:8">
      <c r="A184" t="s">
        <v>353</v>
      </c>
      <c r="B184" t="s">
        <v>381</v>
      </c>
      <c r="C184" t="s">
        <v>382</v>
      </c>
      <c r="D184" s="4">
        <f>VLOOKUP(C184,SQL!$C$2:$D$212,2,FALSE)</f>
        <v>886200853834</v>
      </c>
      <c r="E184" t="s">
        <v>356</v>
      </c>
      <c r="F184" s="1">
        <v>0</v>
      </c>
      <c r="G184" s="1">
        <v>500</v>
      </c>
      <c r="H184" s="1">
        <v>530508</v>
      </c>
    </row>
    <row r="185" spans="1:8">
      <c r="A185" t="s">
        <v>353</v>
      </c>
      <c r="B185" t="s">
        <v>383</v>
      </c>
      <c r="C185" t="s">
        <v>384</v>
      </c>
      <c r="D185" s="4">
        <f>VLOOKUP(C185,SQL!$C$2:$D$212,2,FALSE)</f>
        <v>886200766502</v>
      </c>
      <c r="E185" t="s">
        <v>356</v>
      </c>
      <c r="F185" s="1">
        <v>0</v>
      </c>
      <c r="G185" s="1">
        <v>12000</v>
      </c>
      <c r="H185" s="1">
        <v>542508</v>
      </c>
    </row>
    <row r="186" spans="1:8">
      <c r="A186" t="s">
        <v>353</v>
      </c>
      <c r="B186" t="s">
        <v>385</v>
      </c>
      <c r="C186" t="s">
        <v>386</v>
      </c>
      <c r="D186" s="4">
        <f>VLOOKUP(C186,SQL!$C$2:$D$212,2,FALSE)</f>
        <v>886200975586</v>
      </c>
      <c r="E186" t="s">
        <v>356</v>
      </c>
      <c r="F186" s="1">
        <v>0</v>
      </c>
      <c r="G186" s="1">
        <v>21000</v>
      </c>
      <c r="H186" s="1">
        <v>563508</v>
      </c>
    </row>
    <row r="187" spans="1:8">
      <c r="A187" t="s">
        <v>353</v>
      </c>
      <c r="B187" t="s">
        <v>387</v>
      </c>
      <c r="C187" t="s">
        <v>388</v>
      </c>
      <c r="D187" s="4">
        <f>VLOOKUP(C187,SQL!$C$2:$D$212,2,FALSE)</f>
        <v>886200032829</v>
      </c>
      <c r="E187" t="s">
        <v>356</v>
      </c>
      <c r="F187" s="1">
        <v>0</v>
      </c>
      <c r="G187" s="1">
        <v>30000</v>
      </c>
      <c r="H187" s="1">
        <v>593508</v>
      </c>
    </row>
    <row r="188" spans="1:8">
      <c r="A188" t="s">
        <v>353</v>
      </c>
      <c r="B188" t="s">
        <v>389</v>
      </c>
      <c r="C188" t="s">
        <v>390</v>
      </c>
      <c r="D188" s="4">
        <f>VLOOKUP(C188,SQL!$C$2:$D$212,2,FALSE)</f>
        <v>886200072240</v>
      </c>
      <c r="E188" t="s">
        <v>356</v>
      </c>
      <c r="F188" s="1">
        <v>0</v>
      </c>
      <c r="G188" s="1">
        <v>4000</v>
      </c>
      <c r="H188" s="1">
        <v>597508</v>
      </c>
    </row>
    <row r="189" spans="1:8">
      <c r="A189" t="s">
        <v>353</v>
      </c>
      <c r="B189" t="s">
        <v>391</v>
      </c>
      <c r="C189" t="s">
        <v>392</v>
      </c>
      <c r="D189" s="4">
        <f>VLOOKUP(C189,SQL!$C$2:$D$212,2,FALSE)</f>
        <v>886199514862</v>
      </c>
      <c r="E189" t="s">
        <v>356</v>
      </c>
      <c r="F189" s="1">
        <v>0</v>
      </c>
      <c r="G189" s="1">
        <v>30000</v>
      </c>
      <c r="H189" s="1">
        <v>627508</v>
      </c>
    </row>
    <row r="190" spans="1:8">
      <c r="A190" t="s">
        <v>353</v>
      </c>
      <c r="B190" t="s">
        <v>393</v>
      </c>
      <c r="C190" t="s">
        <v>394</v>
      </c>
      <c r="D190" s="4">
        <f>VLOOKUP(C190,SQL!$C$2:$D$212,2,FALSE)</f>
        <v>886200148049</v>
      </c>
      <c r="E190" t="s">
        <v>356</v>
      </c>
      <c r="F190" s="1">
        <v>0</v>
      </c>
      <c r="G190" s="1">
        <v>500</v>
      </c>
      <c r="H190" s="1">
        <v>628008</v>
      </c>
    </row>
    <row r="191" spans="1:8">
      <c r="A191" t="s">
        <v>353</v>
      </c>
      <c r="B191" t="s">
        <v>395</v>
      </c>
      <c r="C191" t="s">
        <v>396</v>
      </c>
      <c r="D191" s="4">
        <f>VLOOKUP(C191,SQL!$C$2:$D$212,2,FALSE)</f>
        <v>886200883244</v>
      </c>
      <c r="E191" t="s">
        <v>356</v>
      </c>
      <c r="F191" s="1">
        <v>0</v>
      </c>
      <c r="G191" s="1">
        <v>20000</v>
      </c>
      <c r="H191" s="1">
        <v>648008</v>
      </c>
    </row>
    <row r="192" spans="1:8">
      <c r="A192" t="s">
        <v>353</v>
      </c>
      <c r="B192" t="s">
        <v>397</v>
      </c>
      <c r="C192" t="s">
        <v>398</v>
      </c>
      <c r="D192" s="4">
        <f>VLOOKUP(C192,SQL!$C$2:$D$212,2,FALSE)</f>
        <v>886200912975</v>
      </c>
      <c r="E192" t="s">
        <v>356</v>
      </c>
      <c r="F192" s="1">
        <v>0</v>
      </c>
      <c r="G192" s="1">
        <v>5000</v>
      </c>
      <c r="H192" s="1">
        <v>653008</v>
      </c>
    </row>
    <row r="193" spans="1:8">
      <c r="A193" t="s">
        <v>353</v>
      </c>
      <c r="B193" t="s">
        <v>399</v>
      </c>
      <c r="C193" t="s">
        <v>400</v>
      </c>
      <c r="D193" s="4">
        <f>VLOOKUP(C193,SQL!$C$2:$D$212,2,FALSE)</f>
        <v>886200992359</v>
      </c>
      <c r="E193" t="s">
        <v>356</v>
      </c>
      <c r="F193" s="1">
        <v>0</v>
      </c>
      <c r="G193" s="1">
        <v>500</v>
      </c>
      <c r="H193" s="1">
        <v>653508</v>
      </c>
    </row>
    <row r="194" spans="1:8">
      <c r="A194" t="s">
        <v>353</v>
      </c>
      <c r="B194" t="s">
        <v>401</v>
      </c>
      <c r="C194" t="s">
        <v>402</v>
      </c>
      <c r="D194" s="4">
        <f>VLOOKUP(C194,SQL!$C$2:$D$212,2,FALSE)</f>
        <v>886200187696</v>
      </c>
      <c r="E194" t="s">
        <v>356</v>
      </c>
      <c r="F194" s="1">
        <v>0</v>
      </c>
      <c r="G194" s="1">
        <v>500</v>
      </c>
      <c r="H194" s="1">
        <v>654008</v>
      </c>
    </row>
    <row r="195" spans="1:8">
      <c r="A195" t="s">
        <v>353</v>
      </c>
      <c r="B195" t="s">
        <v>403</v>
      </c>
      <c r="C195" t="s">
        <v>404</v>
      </c>
      <c r="D195" s="4">
        <f>VLOOKUP(C195,SQL!$C$2:$D$212,2,FALSE)</f>
        <v>886200635420</v>
      </c>
      <c r="E195" t="s">
        <v>356</v>
      </c>
      <c r="F195" s="1">
        <v>0</v>
      </c>
      <c r="G195" s="1">
        <v>16000</v>
      </c>
      <c r="H195" s="1">
        <v>670008</v>
      </c>
    </row>
    <row r="196" spans="1:8">
      <c r="A196" t="s">
        <v>353</v>
      </c>
      <c r="B196" t="s">
        <v>405</v>
      </c>
      <c r="C196" t="s">
        <v>406</v>
      </c>
      <c r="D196" s="4">
        <f>VLOOKUP(C196,SQL!$C$2:$D$212,2,FALSE)</f>
        <v>886200271747</v>
      </c>
      <c r="E196" t="s">
        <v>356</v>
      </c>
      <c r="F196" s="1">
        <v>0</v>
      </c>
      <c r="G196" s="1">
        <v>15000</v>
      </c>
      <c r="H196" s="1">
        <v>685008</v>
      </c>
    </row>
    <row r="197" spans="1:8">
      <c r="A197" t="s">
        <v>353</v>
      </c>
      <c r="B197" t="s">
        <v>407</v>
      </c>
      <c r="C197" t="s">
        <v>408</v>
      </c>
      <c r="D197" s="4">
        <f>VLOOKUP(C197,SQL!$C$2:$D$212,2,FALSE)</f>
        <v>886200545774</v>
      </c>
      <c r="E197" t="s">
        <v>356</v>
      </c>
      <c r="F197" s="1">
        <v>0</v>
      </c>
      <c r="G197" s="1">
        <v>500</v>
      </c>
      <c r="H197" s="1">
        <v>685508</v>
      </c>
    </row>
    <row r="198" spans="1:8">
      <c r="A198" t="s">
        <v>353</v>
      </c>
      <c r="B198" t="s">
        <v>409</v>
      </c>
      <c r="C198" t="s">
        <v>410</v>
      </c>
      <c r="D198" s="4">
        <f>VLOOKUP(C198,SQL!$C$2:$D$212,2,FALSE)</f>
        <v>886200604535</v>
      </c>
      <c r="E198" t="s">
        <v>356</v>
      </c>
      <c r="F198" s="1">
        <v>0</v>
      </c>
      <c r="G198" s="1">
        <v>18000</v>
      </c>
      <c r="H198" s="1">
        <v>703508</v>
      </c>
    </row>
    <row r="199" spans="1:8">
      <c r="A199" t="s">
        <v>353</v>
      </c>
      <c r="B199" t="s">
        <v>411</v>
      </c>
      <c r="C199" t="s">
        <v>412</v>
      </c>
      <c r="D199" s="4">
        <f>VLOOKUP(C199,SQL!$C$2:$D$212,2,FALSE)</f>
        <v>886200726668</v>
      </c>
      <c r="E199" t="s">
        <v>356</v>
      </c>
      <c r="F199" s="1">
        <v>0</v>
      </c>
      <c r="G199" s="1">
        <v>500</v>
      </c>
      <c r="H199" s="1">
        <v>704008</v>
      </c>
    </row>
    <row r="200" spans="1:8">
      <c r="A200" t="s">
        <v>353</v>
      </c>
      <c r="B200" t="s">
        <v>413</v>
      </c>
      <c r="C200" t="s">
        <v>414</v>
      </c>
      <c r="D200" s="4">
        <f>VLOOKUP(C200,SQL!$C$2:$D$212,2,FALSE)</f>
        <v>886200650618</v>
      </c>
      <c r="E200" t="s">
        <v>356</v>
      </c>
      <c r="F200" s="1">
        <v>0</v>
      </c>
      <c r="G200" s="1">
        <v>24000</v>
      </c>
      <c r="H200" s="1">
        <v>728008</v>
      </c>
    </row>
    <row r="201" spans="1:8">
      <c r="A201" t="s">
        <v>353</v>
      </c>
      <c r="B201" t="s">
        <v>415</v>
      </c>
      <c r="C201" t="s">
        <v>416</v>
      </c>
      <c r="D201" s="4">
        <f>VLOOKUP(C201,SQL!$C$2:$D$212,2,FALSE)</f>
        <v>886200178245</v>
      </c>
      <c r="E201" t="s">
        <v>356</v>
      </c>
      <c r="F201" s="1">
        <v>0</v>
      </c>
      <c r="G201" s="1">
        <v>5000</v>
      </c>
      <c r="H201" s="1">
        <v>733008</v>
      </c>
    </row>
    <row r="202" spans="1:8">
      <c r="A202" t="s">
        <v>353</v>
      </c>
      <c r="B202" t="s">
        <v>417</v>
      </c>
      <c r="C202" t="s">
        <v>418</v>
      </c>
      <c r="D202" s="4">
        <f>VLOOKUP(C202,SQL!$C$2:$D$212,2,FALSE)</f>
        <v>886200947007</v>
      </c>
      <c r="E202" t="s">
        <v>356</v>
      </c>
      <c r="F202" s="1">
        <v>0</v>
      </c>
      <c r="G202" s="1">
        <v>500</v>
      </c>
      <c r="H202" s="1">
        <v>733508</v>
      </c>
    </row>
    <row r="203" spans="1:8">
      <c r="A203" t="s">
        <v>353</v>
      </c>
      <c r="B203" t="s">
        <v>419</v>
      </c>
      <c r="C203" t="s">
        <v>420</v>
      </c>
      <c r="D203" s="4">
        <f>VLOOKUP(C203,SQL!$C$2:$D$212,2,FALSE)</f>
        <v>886200600195</v>
      </c>
      <c r="E203" t="s">
        <v>356</v>
      </c>
      <c r="F203" s="1">
        <v>0</v>
      </c>
      <c r="G203" s="1">
        <v>9000</v>
      </c>
      <c r="H203" s="1">
        <v>742508</v>
      </c>
    </row>
    <row r="204" spans="1:8">
      <c r="A204" t="s">
        <v>353</v>
      </c>
      <c r="B204" t="s">
        <v>421</v>
      </c>
      <c r="C204" t="s">
        <v>422</v>
      </c>
      <c r="D204" s="4">
        <f>VLOOKUP(C204,SQL!$C$2:$D$212,2,FALSE)</f>
        <v>886200458394</v>
      </c>
      <c r="E204" t="s">
        <v>356</v>
      </c>
      <c r="F204" s="1">
        <v>0</v>
      </c>
      <c r="G204" s="1">
        <v>500</v>
      </c>
      <c r="H204" s="1">
        <v>743008</v>
      </c>
    </row>
    <row r="205" spans="1:8">
      <c r="A205" t="s">
        <v>353</v>
      </c>
      <c r="B205" t="s">
        <v>423</v>
      </c>
      <c r="C205" t="s">
        <v>424</v>
      </c>
      <c r="D205" s="4">
        <f>VLOOKUP(C205,SQL!$C$2:$D$212,2,FALSE)</f>
        <v>886200073883</v>
      </c>
      <c r="E205" t="s">
        <v>356</v>
      </c>
      <c r="F205" s="1">
        <v>0</v>
      </c>
      <c r="G205" s="1">
        <v>500</v>
      </c>
      <c r="H205" s="1">
        <v>744008</v>
      </c>
    </row>
    <row r="206" spans="1:8">
      <c r="A206" t="s">
        <v>353</v>
      </c>
      <c r="B206" t="s">
        <v>425</v>
      </c>
      <c r="C206" t="s">
        <v>426</v>
      </c>
      <c r="D206" s="4">
        <f>VLOOKUP(C206,SQL!$C$2:$D$212,2,FALSE)</f>
        <v>886200039269</v>
      </c>
      <c r="E206" t="s">
        <v>356</v>
      </c>
      <c r="F206" s="1">
        <v>0</v>
      </c>
      <c r="G206" s="1">
        <v>21000</v>
      </c>
      <c r="H206" s="1">
        <v>765008</v>
      </c>
    </row>
    <row r="207" spans="1:8">
      <c r="A207" t="s">
        <v>353</v>
      </c>
      <c r="B207" t="s">
        <v>427</v>
      </c>
      <c r="C207" t="s">
        <v>428</v>
      </c>
      <c r="D207" s="4">
        <f>VLOOKUP(C207,SQL!$C$2:$D$212,2,FALSE)</f>
        <v>886200476725</v>
      </c>
      <c r="E207" t="s">
        <v>356</v>
      </c>
      <c r="F207" s="1">
        <v>0</v>
      </c>
      <c r="G207" s="1">
        <v>500</v>
      </c>
      <c r="H207" s="1">
        <v>292500</v>
      </c>
    </row>
    <row r="208" spans="1:8">
      <c r="A208" t="s">
        <v>353</v>
      </c>
      <c r="B208" t="s">
        <v>429</v>
      </c>
      <c r="C208" t="s">
        <v>430</v>
      </c>
      <c r="D208" s="4">
        <f>VLOOKUP(C208,SQL!$C$2:$D$212,2,FALSE)</f>
        <v>886200836195</v>
      </c>
      <c r="E208" t="s">
        <v>356</v>
      </c>
      <c r="F208" s="1">
        <v>0</v>
      </c>
      <c r="G208" s="1">
        <v>500</v>
      </c>
      <c r="H208" s="1">
        <v>293000</v>
      </c>
    </row>
    <row r="209" spans="1:8">
      <c r="A209" t="s">
        <v>353</v>
      </c>
      <c r="B209" t="s">
        <v>431</v>
      </c>
      <c r="C209" t="s">
        <v>432</v>
      </c>
      <c r="D209" s="4">
        <f>VLOOKUP(C209,SQL!$C$2:$D$212,2,FALSE)</f>
        <v>886200290819</v>
      </c>
      <c r="E209" t="s">
        <v>356</v>
      </c>
      <c r="F209" s="1">
        <v>0</v>
      </c>
      <c r="G209" s="1">
        <v>500</v>
      </c>
      <c r="H209" s="1">
        <v>293500</v>
      </c>
    </row>
    <row r="210" spans="1:8">
      <c r="A210" t="s">
        <v>353</v>
      </c>
      <c r="B210" t="s">
        <v>433</v>
      </c>
      <c r="C210" t="s">
        <v>434</v>
      </c>
      <c r="D210" s="4">
        <f>VLOOKUP(C210,SQL!$C$2:$D$212,2,FALSE)</f>
        <v>886200758218</v>
      </c>
      <c r="E210" t="s">
        <v>356</v>
      </c>
      <c r="F210" s="1">
        <v>0</v>
      </c>
      <c r="G210" s="1">
        <v>500</v>
      </c>
      <c r="H210" s="1">
        <v>294000</v>
      </c>
    </row>
    <row r="211" spans="1:8">
      <c r="A211" t="s">
        <v>353</v>
      </c>
      <c r="B211" t="s">
        <v>435</v>
      </c>
      <c r="C211" t="s">
        <v>436</v>
      </c>
      <c r="D211" s="4">
        <f>VLOOKUP(C211,SQL!$C$2:$D$212,2,FALSE)</f>
        <v>886200216215</v>
      </c>
      <c r="E211" t="s">
        <v>356</v>
      </c>
      <c r="F211" s="1">
        <v>0</v>
      </c>
      <c r="G211" s="1">
        <v>500</v>
      </c>
      <c r="H211" s="1">
        <v>294500</v>
      </c>
    </row>
  </sheetData>
  <autoFilter ref="A1:H21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D212"/>
  <sheetViews>
    <sheetView topLeftCell="A113" workbookViewId="0">
      <selection activeCell="C128" sqref="C128"/>
    </sheetView>
  </sheetViews>
  <sheetFormatPr defaultRowHeight="14.45"/>
  <cols>
    <col min="3" max="3" width="22.140625" customWidth="1"/>
    <col min="4" max="4" width="15.42578125" style="4" bestFit="1" customWidth="1"/>
  </cols>
  <sheetData>
    <row r="2" spans="3:4">
      <c r="C2" s="2">
        <v>20144570294</v>
      </c>
      <c r="D2" s="3">
        <v>886197386547</v>
      </c>
    </row>
    <row r="3" spans="3:4">
      <c r="C3" s="2">
        <v>20144570972</v>
      </c>
      <c r="D3" s="3">
        <v>886196873806</v>
      </c>
    </row>
    <row r="4" spans="3:4">
      <c r="C4" s="2">
        <v>20144583158</v>
      </c>
      <c r="D4" s="3">
        <v>876198074691</v>
      </c>
    </row>
    <row r="5" spans="3:4">
      <c r="C5" s="2">
        <v>20144594783</v>
      </c>
      <c r="D5" s="3">
        <v>886198977332</v>
      </c>
    </row>
    <row r="6" spans="3:4">
      <c r="C6" s="2">
        <v>20144601501</v>
      </c>
      <c r="D6" s="3">
        <v>886199712600</v>
      </c>
    </row>
    <row r="7" spans="3:4">
      <c r="C7" s="2">
        <v>20144603156</v>
      </c>
      <c r="D7" s="3">
        <v>886199397597</v>
      </c>
    </row>
    <row r="8" spans="3:4">
      <c r="C8" s="2">
        <v>20144605112</v>
      </c>
      <c r="D8" s="3">
        <v>886199533161</v>
      </c>
    </row>
    <row r="9" spans="3:4">
      <c r="C9" s="2" t="s">
        <v>154</v>
      </c>
      <c r="D9" s="3">
        <v>886198170061</v>
      </c>
    </row>
    <row r="10" spans="3:4">
      <c r="C10" s="2" t="s">
        <v>136</v>
      </c>
      <c r="D10" s="3">
        <v>886198998765</v>
      </c>
    </row>
    <row r="11" spans="3:4">
      <c r="C11" s="2" t="s">
        <v>414</v>
      </c>
      <c r="D11" s="3">
        <v>886200650618</v>
      </c>
    </row>
    <row r="12" spans="3:4">
      <c r="C12" s="2" t="s">
        <v>27</v>
      </c>
      <c r="D12" s="3">
        <v>886197083682</v>
      </c>
    </row>
    <row r="13" spans="3:4">
      <c r="C13" s="2" t="s">
        <v>182</v>
      </c>
      <c r="D13" s="3">
        <v>886198637074</v>
      </c>
    </row>
    <row r="14" spans="3:4">
      <c r="C14" s="2" t="s">
        <v>178</v>
      </c>
      <c r="D14" s="3">
        <v>886198038037</v>
      </c>
    </row>
    <row r="15" spans="3:4">
      <c r="C15" s="2" t="s">
        <v>116</v>
      </c>
      <c r="D15" s="3">
        <v>886198087315</v>
      </c>
    </row>
    <row r="16" spans="3:4">
      <c r="C16" s="2" t="s">
        <v>432</v>
      </c>
      <c r="D16" s="3">
        <v>886200290819</v>
      </c>
    </row>
    <row r="17" spans="3:4">
      <c r="C17" s="2" t="s">
        <v>378</v>
      </c>
      <c r="D17" s="3">
        <v>886200477479</v>
      </c>
    </row>
    <row r="18" spans="3:4">
      <c r="C18" s="2" t="s">
        <v>364</v>
      </c>
      <c r="D18" s="3">
        <v>886200142834</v>
      </c>
    </row>
    <row r="19" spans="3:4">
      <c r="C19" s="2" t="s">
        <v>406</v>
      </c>
      <c r="D19" s="3">
        <v>886200271747</v>
      </c>
    </row>
    <row r="20" spans="3:4">
      <c r="C20" s="2" t="s">
        <v>408</v>
      </c>
      <c r="D20" s="3">
        <v>886200545774</v>
      </c>
    </row>
    <row r="21" spans="3:4">
      <c r="C21" s="2" t="s">
        <v>53</v>
      </c>
      <c r="D21" s="3">
        <v>886196742825</v>
      </c>
    </row>
    <row r="22" spans="3:4">
      <c r="C22" s="2" t="s">
        <v>112</v>
      </c>
      <c r="D22" s="3">
        <v>886198856674</v>
      </c>
    </row>
    <row r="23" spans="3:4">
      <c r="C23" s="2" t="s">
        <v>110</v>
      </c>
      <c r="D23" s="3">
        <v>886198098185</v>
      </c>
    </row>
    <row r="24" spans="3:4">
      <c r="C24" s="2" t="s">
        <v>25</v>
      </c>
      <c r="D24" s="3">
        <v>886197825934</v>
      </c>
    </row>
    <row r="25" spans="3:4">
      <c r="C25" s="2" t="s">
        <v>74</v>
      </c>
      <c r="D25" s="3">
        <v>886197295501</v>
      </c>
    </row>
    <row r="26" spans="3:4">
      <c r="C26" s="2" t="s">
        <v>210</v>
      </c>
      <c r="D26" s="3">
        <v>886198669110</v>
      </c>
    </row>
    <row r="27" spans="3:4">
      <c r="C27" s="2" t="s">
        <v>236</v>
      </c>
      <c r="D27" s="3">
        <v>886198837015</v>
      </c>
    </row>
    <row r="28" spans="3:4">
      <c r="C28" s="2" t="s">
        <v>176</v>
      </c>
      <c r="D28" s="3">
        <v>886198771735</v>
      </c>
    </row>
    <row r="29" spans="3:4">
      <c r="C29" s="2" t="s">
        <v>216</v>
      </c>
      <c r="D29" s="3">
        <v>886198061507</v>
      </c>
    </row>
    <row r="30" spans="3:4">
      <c r="C30" s="2" t="s">
        <v>340</v>
      </c>
      <c r="D30" s="3">
        <v>886199601608</v>
      </c>
    </row>
    <row r="31" spans="3:4">
      <c r="C31" s="2" t="s">
        <v>33</v>
      </c>
      <c r="D31" s="3">
        <v>886196170765</v>
      </c>
    </row>
    <row r="32" spans="3:4">
      <c r="C32" s="2" t="s">
        <v>254</v>
      </c>
      <c r="D32" s="3">
        <v>886198041340</v>
      </c>
    </row>
    <row r="33" spans="3:4">
      <c r="C33" s="2" t="s">
        <v>142</v>
      </c>
      <c r="D33" s="3">
        <v>886198511828</v>
      </c>
    </row>
    <row r="34" spans="3:4">
      <c r="C34" s="2" t="s">
        <v>224</v>
      </c>
      <c r="D34" s="3">
        <v>886198358967</v>
      </c>
    </row>
    <row r="35" spans="3:4">
      <c r="C35" s="2" t="s">
        <v>146</v>
      </c>
      <c r="D35" s="3">
        <v>886198049940</v>
      </c>
    </row>
    <row r="36" spans="3:4">
      <c r="C36" s="2" t="s">
        <v>384</v>
      </c>
      <c r="D36" s="3">
        <v>886200766502</v>
      </c>
    </row>
    <row r="37" spans="3:4">
      <c r="C37" s="2" t="s">
        <v>39</v>
      </c>
      <c r="D37" s="3">
        <v>886197710587</v>
      </c>
    </row>
    <row r="38" spans="3:4">
      <c r="C38" s="2" t="s">
        <v>23</v>
      </c>
      <c r="D38" s="3">
        <v>886197331524</v>
      </c>
    </row>
    <row r="39" spans="3:4">
      <c r="C39" s="2" t="s">
        <v>80</v>
      </c>
      <c r="D39" s="3">
        <v>886197011133</v>
      </c>
    </row>
    <row r="40" spans="3:4">
      <c r="C40" s="2" t="s">
        <v>264</v>
      </c>
      <c r="D40" s="3">
        <v>886198790122</v>
      </c>
    </row>
    <row r="41" spans="3:4">
      <c r="C41" s="2" t="s">
        <v>130</v>
      </c>
      <c r="D41" s="3">
        <v>886198015756</v>
      </c>
    </row>
    <row r="42" spans="3:4">
      <c r="C42" s="2" t="s">
        <v>192</v>
      </c>
      <c r="D42" s="3">
        <v>886198986754</v>
      </c>
    </row>
    <row r="43" spans="3:4">
      <c r="C43" s="2" t="s">
        <v>362</v>
      </c>
      <c r="D43" s="3">
        <v>886200671352</v>
      </c>
    </row>
    <row r="44" spans="3:4">
      <c r="C44" s="2" t="s">
        <v>368</v>
      </c>
      <c r="D44" s="3">
        <v>886200706903</v>
      </c>
    </row>
    <row r="45" spans="3:4">
      <c r="C45" s="2" t="s">
        <v>412</v>
      </c>
      <c r="D45" s="3">
        <v>886200726668</v>
      </c>
    </row>
    <row r="46" spans="3:4">
      <c r="C46" s="2" t="s">
        <v>232</v>
      </c>
      <c r="D46" s="3">
        <v>886198676135</v>
      </c>
    </row>
    <row r="47" spans="3:4">
      <c r="C47" s="2" t="s">
        <v>194</v>
      </c>
      <c r="D47" s="3">
        <v>886198007628</v>
      </c>
    </row>
    <row r="48" spans="3:4">
      <c r="C48" s="2" t="s">
        <v>278</v>
      </c>
      <c r="D48" s="3">
        <v>886197848167</v>
      </c>
    </row>
    <row r="49" spans="3:4">
      <c r="C49" s="2" t="s">
        <v>437</v>
      </c>
      <c r="D49" s="3">
        <v>886200299785</v>
      </c>
    </row>
    <row r="50" spans="3:4">
      <c r="C50" s="2" t="s">
        <v>392</v>
      </c>
      <c r="D50" s="3">
        <v>886199514862</v>
      </c>
    </row>
    <row r="51" spans="3:4">
      <c r="C51" s="2" t="s">
        <v>108</v>
      </c>
      <c r="D51" s="3">
        <v>886198336593</v>
      </c>
    </row>
    <row r="52" spans="3:4">
      <c r="C52" s="2" t="s">
        <v>140</v>
      </c>
      <c r="D52" s="3">
        <v>886198233642</v>
      </c>
    </row>
    <row r="53" spans="3:4">
      <c r="C53" s="2" t="s">
        <v>214</v>
      </c>
      <c r="D53" s="3">
        <v>886198599803</v>
      </c>
    </row>
    <row r="54" spans="3:4">
      <c r="C54" s="2" t="s">
        <v>85</v>
      </c>
      <c r="D54" s="3">
        <v>886198966420</v>
      </c>
    </row>
    <row r="55" spans="3:4">
      <c r="C55" s="2" t="s">
        <v>342</v>
      </c>
      <c r="D55" s="3">
        <v>886199384916</v>
      </c>
    </row>
    <row r="56" spans="3:4">
      <c r="C56" s="2" t="s">
        <v>294</v>
      </c>
      <c r="D56" s="3">
        <v>886199194451</v>
      </c>
    </row>
    <row r="57" spans="3:4">
      <c r="C57" s="2" t="s">
        <v>380</v>
      </c>
      <c r="D57" s="3">
        <v>886200262684</v>
      </c>
    </row>
    <row r="58" spans="3:4">
      <c r="C58" s="2" t="s">
        <v>66</v>
      </c>
      <c r="D58" s="3">
        <v>886197149402</v>
      </c>
    </row>
    <row r="59" spans="3:4">
      <c r="C59" s="2" t="s">
        <v>386</v>
      </c>
      <c r="D59" s="3">
        <v>886200975586</v>
      </c>
    </row>
    <row r="60" spans="3:4">
      <c r="C60" s="2" t="s">
        <v>45</v>
      </c>
      <c r="D60" s="3">
        <v>886197379026</v>
      </c>
    </row>
    <row r="61" spans="3:4">
      <c r="C61" s="2" t="s">
        <v>230</v>
      </c>
      <c r="D61" s="3">
        <v>886198513601</v>
      </c>
    </row>
    <row r="62" spans="3:4">
      <c r="C62" s="2" t="s">
        <v>266</v>
      </c>
      <c r="D62" s="3">
        <v>886198307545</v>
      </c>
    </row>
    <row r="63" spans="3:4">
      <c r="C63" s="2" t="s">
        <v>274</v>
      </c>
      <c r="D63" s="3">
        <v>886198787865</v>
      </c>
    </row>
    <row r="64" spans="3:4">
      <c r="C64" s="2" t="s">
        <v>348</v>
      </c>
      <c r="D64" s="3">
        <v>886199545892</v>
      </c>
    </row>
    <row r="65" spans="3:4">
      <c r="C65" s="2" t="s">
        <v>308</v>
      </c>
      <c r="D65" s="3">
        <v>886199330649</v>
      </c>
    </row>
    <row r="66" spans="3:4">
      <c r="C66" s="2" t="s">
        <v>426</v>
      </c>
      <c r="D66" s="3">
        <v>886200039269</v>
      </c>
    </row>
    <row r="67" spans="3:4">
      <c r="C67" s="2" t="s">
        <v>64</v>
      </c>
      <c r="D67" s="3">
        <v>886197806827</v>
      </c>
    </row>
    <row r="68" spans="3:4">
      <c r="C68" s="2" t="s">
        <v>90</v>
      </c>
      <c r="D68" s="3">
        <v>886198855361</v>
      </c>
    </row>
    <row r="69" spans="3:4">
      <c r="C69" s="2" t="s">
        <v>138</v>
      </c>
      <c r="D69" s="3">
        <v>886198147074</v>
      </c>
    </row>
    <row r="70" spans="3:4">
      <c r="C70" s="2" t="s">
        <v>100</v>
      </c>
      <c r="D70" s="3">
        <v>886198464083</v>
      </c>
    </row>
    <row r="71" spans="3:4">
      <c r="C71" s="2" t="s">
        <v>370</v>
      </c>
      <c r="D71" s="3">
        <v>886200299785</v>
      </c>
    </row>
    <row r="72" spans="3:4">
      <c r="C72" s="2" t="s">
        <v>382</v>
      </c>
      <c r="D72" s="3">
        <v>886200853834</v>
      </c>
    </row>
    <row r="73" spans="3:4">
      <c r="C73" s="2" t="s">
        <v>68</v>
      </c>
      <c r="D73" s="3">
        <v>886197916772</v>
      </c>
    </row>
    <row r="74" spans="3:4">
      <c r="C74" s="2" t="s">
        <v>196</v>
      </c>
      <c r="D74" s="3">
        <v>886198545129</v>
      </c>
    </row>
    <row r="75" spans="3:4">
      <c r="C75" s="2" t="s">
        <v>188</v>
      </c>
      <c r="D75" s="3">
        <v>886198463606</v>
      </c>
    </row>
    <row r="76" spans="3:4">
      <c r="C76" s="2" t="s">
        <v>250</v>
      </c>
      <c r="D76" s="3">
        <v>886198497081</v>
      </c>
    </row>
    <row r="77" spans="3:4">
      <c r="C77" s="2" t="s">
        <v>150</v>
      </c>
      <c r="D77" s="3">
        <v>886198458515</v>
      </c>
    </row>
    <row r="78" spans="3:4">
      <c r="C78" s="2" t="s">
        <v>352</v>
      </c>
      <c r="D78" s="3">
        <v>886198935489</v>
      </c>
    </row>
    <row r="79" spans="3:4">
      <c r="C79" s="2" t="s">
        <v>336</v>
      </c>
      <c r="D79" s="3">
        <v>886199392528</v>
      </c>
    </row>
    <row r="80" spans="3:4">
      <c r="C80" s="2" t="s">
        <v>220</v>
      </c>
      <c r="D80" s="3">
        <v>886198941358</v>
      </c>
    </row>
    <row r="81" spans="3:4">
      <c r="C81" s="2" t="s">
        <v>124</v>
      </c>
      <c r="D81" s="3">
        <v>886198199272</v>
      </c>
    </row>
    <row r="82" spans="3:4">
      <c r="C82" s="2" t="s">
        <v>158</v>
      </c>
      <c r="D82" s="3">
        <v>886198754944</v>
      </c>
    </row>
    <row r="83" spans="3:4">
      <c r="C83" s="2" t="s">
        <v>320</v>
      </c>
      <c r="D83" s="3">
        <v>886199543269</v>
      </c>
    </row>
    <row r="84" spans="3:4">
      <c r="C84" s="2" t="s">
        <v>35</v>
      </c>
      <c r="D84" s="3">
        <v>886196072127</v>
      </c>
    </row>
    <row r="85" spans="3:4">
      <c r="C85" s="2" t="s">
        <v>37</v>
      </c>
      <c r="D85" s="3">
        <v>886197377241</v>
      </c>
    </row>
    <row r="86" spans="3:4">
      <c r="C86" s="2" t="s">
        <v>284</v>
      </c>
      <c r="D86" s="3">
        <v>886198640380</v>
      </c>
    </row>
    <row r="87" spans="3:4">
      <c r="C87" s="2" t="s">
        <v>156</v>
      </c>
      <c r="D87" s="3">
        <v>886198918006</v>
      </c>
    </row>
    <row r="88" spans="3:4">
      <c r="C88" s="2" t="s">
        <v>246</v>
      </c>
      <c r="D88" s="3">
        <v>886198976981</v>
      </c>
    </row>
    <row r="89" spans="3:4">
      <c r="C89" s="2" t="s">
        <v>122</v>
      </c>
      <c r="D89" s="3">
        <v>886198187912</v>
      </c>
    </row>
    <row r="90" spans="3:4">
      <c r="C90" s="2" t="s">
        <v>289</v>
      </c>
      <c r="D90" s="3">
        <v>886199156254</v>
      </c>
    </row>
    <row r="91" spans="3:4">
      <c r="C91" s="2" t="s">
        <v>160</v>
      </c>
      <c r="D91" s="3">
        <v>886198774901</v>
      </c>
    </row>
    <row r="92" spans="3:4">
      <c r="C92" s="2" t="s">
        <v>166</v>
      </c>
      <c r="D92" s="3">
        <v>886198272276</v>
      </c>
    </row>
    <row r="93" spans="3:4">
      <c r="C93" s="2" t="s">
        <v>228</v>
      </c>
      <c r="D93" s="3">
        <v>886198031348</v>
      </c>
    </row>
    <row r="94" spans="3:4">
      <c r="C94" s="2" t="s">
        <v>102</v>
      </c>
      <c r="D94" s="3">
        <v>886198463909</v>
      </c>
    </row>
    <row r="95" spans="3:4">
      <c r="C95" s="2" t="s">
        <v>120</v>
      </c>
      <c r="D95" s="3">
        <v>886198150721</v>
      </c>
    </row>
    <row r="96" spans="3:4">
      <c r="C96" s="2" t="s">
        <v>312</v>
      </c>
      <c r="D96" s="3">
        <v>886199291643</v>
      </c>
    </row>
    <row r="97" spans="3:4">
      <c r="C97" s="2" t="s">
        <v>434</v>
      </c>
      <c r="D97" s="3">
        <v>886200758218</v>
      </c>
    </row>
    <row r="98" spans="3:4">
      <c r="C98" s="2" t="s">
        <v>41</v>
      </c>
      <c r="D98" s="3">
        <v>886197791085</v>
      </c>
    </row>
    <row r="99" spans="3:4">
      <c r="C99" s="2" t="s">
        <v>104</v>
      </c>
      <c r="D99" s="3">
        <v>886198714344</v>
      </c>
    </row>
    <row r="100" spans="3:4">
      <c r="C100" s="2" t="s">
        <v>226</v>
      </c>
      <c r="D100" s="3">
        <v>886198105077</v>
      </c>
    </row>
    <row r="101" spans="3:4">
      <c r="C101" s="2" t="s">
        <v>222</v>
      </c>
      <c r="D101" s="3">
        <v>886198308768</v>
      </c>
    </row>
    <row r="102" spans="3:4">
      <c r="C102" s="2" t="s">
        <v>206</v>
      </c>
      <c r="D102" s="3">
        <v>886198340960</v>
      </c>
    </row>
    <row r="103" spans="3:4">
      <c r="C103" s="2" t="s">
        <v>106</v>
      </c>
      <c r="D103" s="3">
        <v>886198990743</v>
      </c>
    </row>
    <row r="104" spans="3:4">
      <c r="C104" s="2" t="s">
        <v>300</v>
      </c>
      <c r="D104" s="3">
        <v>886199367393</v>
      </c>
    </row>
    <row r="105" spans="3:4">
      <c r="C105" s="2" t="s">
        <v>376</v>
      </c>
      <c r="D105" s="3">
        <v>886200242284</v>
      </c>
    </row>
    <row r="106" spans="3:4">
      <c r="C106" s="2" t="s">
        <v>49</v>
      </c>
      <c r="D106" s="3">
        <v>886197146070</v>
      </c>
    </row>
    <row r="107" spans="3:4">
      <c r="C107" s="2" t="s">
        <v>56</v>
      </c>
      <c r="D107" s="3">
        <v>876197135449</v>
      </c>
    </row>
    <row r="108" spans="3:4">
      <c r="C108" s="2" t="s">
        <v>13</v>
      </c>
      <c r="D108" s="3">
        <v>886197375812</v>
      </c>
    </row>
    <row r="109" spans="3:4">
      <c r="C109" s="2" t="s">
        <v>96</v>
      </c>
      <c r="D109" s="3">
        <v>886198192915</v>
      </c>
    </row>
    <row r="110" spans="3:4">
      <c r="C110" s="2" t="s">
        <v>328</v>
      </c>
      <c r="D110" s="3">
        <v>886199131310</v>
      </c>
    </row>
    <row r="111" spans="3:4">
      <c r="C111" s="2" t="s">
        <v>330</v>
      </c>
      <c r="D111" s="3">
        <v>886199169841</v>
      </c>
    </row>
    <row r="112" spans="3:4">
      <c r="C112" s="2" t="s">
        <v>162</v>
      </c>
      <c r="D112" s="3">
        <v>886198696816</v>
      </c>
    </row>
    <row r="113" spans="3:4">
      <c r="C113" s="2" t="s">
        <v>234</v>
      </c>
      <c r="D113" s="3">
        <v>886198180165</v>
      </c>
    </row>
    <row r="114" spans="3:4">
      <c r="C114" s="2" t="s">
        <v>148</v>
      </c>
      <c r="D114" s="3">
        <v>886198575718</v>
      </c>
    </row>
    <row r="115" spans="3:4">
      <c r="C115" s="2" t="s">
        <v>424</v>
      </c>
      <c r="D115" s="3">
        <v>886200073883</v>
      </c>
    </row>
    <row r="116" spans="3:4">
      <c r="C116" s="2" t="s">
        <v>358</v>
      </c>
      <c r="D116" s="3">
        <v>886200402570</v>
      </c>
    </row>
    <row r="117" spans="3:4">
      <c r="C117" s="2" t="s">
        <v>60</v>
      </c>
      <c r="D117" s="3">
        <v>886197579395</v>
      </c>
    </row>
    <row r="118" spans="3:4">
      <c r="C118" s="2" t="s">
        <v>260</v>
      </c>
      <c r="D118" s="3">
        <v>886198538349</v>
      </c>
    </row>
    <row r="119" spans="3:4">
      <c r="C119" s="2" t="s">
        <v>202</v>
      </c>
      <c r="D119" s="3">
        <v>886198776988</v>
      </c>
    </row>
    <row r="120" spans="3:4">
      <c r="C120" s="2" t="s">
        <v>132</v>
      </c>
      <c r="D120" s="3">
        <v>886198493775</v>
      </c>
    </row>
    <row r="121" spans="3:4">
      <c r="C121" s="2" t="s">
        <v>332</v>
      </c>
      <c r="D121" s="3">
        <v>886199835296</v>
      </c>
    </row>
    <row r="122" spans="3:4">
      <c r="C122" s="2" t="s">
        <v>322</v>
      </c>
      <c r="D122" s="3">
        <v>886199810985</v>
      </c>
    </row>
    <row r="123" spans="3:4">
      <c r="C123" s="2" t="s">
        <v>394</v>
      </c>
      <c r="D123" s="3">
        <v>886200148049</v>
      </c>
    </row>
    <row r="124" spans="3:4">
      <c r="C124" s="2" t="s">
        <v>360</v>
      </c>
      <c r="D124" s="3">
        <v>886200082787</v>
      </c>
    </row>
    <row r="125" spans="3:4">
      <c r="C125" s="2" t="s">
        <v>43</v>
      </c>
      <c r="D125" s="3">
        <v>886197223951</v>
      </c>
    </row>
    <row r="126" spans="3:4">
      <c r="C126" s="2" t="s">
        <v>72</v>
      </c>
      <c r="D126" s="3">
        <v>886197892751</v>
      </c>
    </row>
    <row r="127" spans="3:4">
      <c r="C127" s="2" t="s">
        <v>242</v>
      </c>
      <c r="D127" s="3">
        <v>886198186339</v>
      </c>
    </row>
    <row r="128" spans="3:4">
      <c r="C128" s="2" t="s">
        <v>304</v>
      </c>
      <c r="D128" s="3" t="s">
        <v>438</v>
      </c>
    </row>
    <row r="129" spans="3:4">
      <c r="C129" s="2" t="s">
        <v>400</v>
      </c>
      <c r="D129" s="3">
        <v>886200992359</v>
      </c>
    </row>
    <row r="130" spans="3:4">
      <c r="C130" s="2" t="s">
        <v>416</v>
      </c>
      <c r="D130" s="3">
        <v>886200178245</v>
      </c>
    </row>
    <row r="131" spans="3:4">
      <c r="C131" s="2" t="s">
        <v>404</v>
      </c>
      <c r="D131" s="3">
        <v>886200635420</v>
      </c>
    </row>
    <row r="132" spans="3:4">
      <c r="C132" s="2" t="s">
        <v>355</v>
      </c>
      <c r="D132" s="3">
        <v>886200768063</v>
      </c>
    </row>
    <row r="133" spans="3:4">
      <c r="C133" s="2" t="s">
        <v>29</v>
      </c>
      <c r="D133" s="3">
        <v>886197218096</v>
      </c>
    </row>
    <row r="134" spans="3:4">
      <c r="C134" s="2" t="s">
        <v>19</v>
      </c>
      <c r="D134" s="3">
        <v>886197812062</v>
      </c>
    </row>
    <row r="135" spans="3:4">
      <c r="C135" s="2" t="s">
        <v>62</v>
      </c>
      <c r="D135" s="3">
        <v>886197706720</v>
      </c>
    </row>
    <row r="136" spans="3:4">
      <c r="C136" s="2" t="s">
        <v>172</v>
      </c>
      <c r="D136" s="3">
        <v>886198249073</v>
      </c>
    </row>
    <row r="137" spans="3:4">
      <c r="C137" s="2" t="s">
        <v>208</v>
      </c>
      <c r="D137" s="3">
        <v>886198176675</v>
      </c>
    </row>
    <row r="138" spans="3:4">
      <c r="C138" s="2" t="s">
        <v>318</v>
      </c>
      <c r="D138" s="3">
        <v>886199695337</v>
      </c>
    </row>
    <row r="139" spans="3:4">
      <c r="C139" s="2" t="s">
        <v>436</v>
      </c>
      <c r="D139" s="3">
        <v>886200216215</v>
      </c>
    </row>
    <row r="140" spans="3:4">
      <c r="C140" s="2" t="s">
        <v>422</v>
      </c>
      <c r="D140" s="3">
        <v>886200458394</v>
      </c>
    </row>
    <row r="141" spans="3:4">
      <c r="C141" s="2" t="s">
        <v>420</v>
      </c>
      <c r="D141" s="3">
        <v>886200600195</v>
      </c>
    </row>
    <row r="142" spans="3:4">
      <c r="C142" s="2" t="s">
        <v>346</v>
      </c>
      <c r="D142" s="3">
        <v>886199937817</v>
      </c>
    </row>
    <row r="143" spans="3:4">
      <c r="C143" s="2" t="s">
        <v>430</v>
      </c>
      <c r="D143" s="3">
        <v>886200836195</v>
      </c>
    </row>
    <row r="144" spans="3:4">
      <c r="C144" s="2" t="s">
        <v>374</v>
      </c>
      <c r="D144" s="3">
        <v>886200093730</v>
      </c>
    </row>
    <row r="145" spans="3:4">
      <c r="C145" s="2" t="s">
        <v>31</v>
      </c>
      <c r="D145" s="3">
        <v>886197960093</v>
      </c>
    </row>
    <row r="146" spans="3:4">
      <c r="C146" s="2" t="s">
        <v>128</v>
      </c>
      <c r="D146" s="3">
        <v>886198899791</v>
      </c>
    </row>
    <row r="147" spans="3:4">
      <c r="C147" s="2" t="s">
        <v>212</v>
      </c>
      <c r="D147" s="3">
        <v>886198972976</v>
      </c>
    </row>
    <row r="148" spans="3:4">
      <c r="C148" s="2" t="s">
        <v>164</v>
      </c>
      <c r="D148" s="3">
        <v>886198234890</v>
      </c>
    </row>
    <row r="149" spans="3:4">
      <c r="C149" s="2" t="s">
        <v>402</v>
      </c>
      <c r="D149" s="3">
        <v>886200187696</v>
      </c>
    </row>
    <row r="150" spans="3:4">
      <c r="C150" s="2" t="s">
        <v>51</v>
      </c>
      <c r="D150" s="3">
        <v>886197953371</v>
      </c>
    </row>
    <row r="151" spans="3:4">
      <c r="C151" s="2" t="s">
        <v>170</v>
      </c>
      <c r="D151" s="3">
        <v>886198949580</v>
      </c>
    </row>
    <row r="152" spans="3:4">
      <c r="C152" s="2" t="s">
        <v>198</v>
      </c>
      <c r="D152" s="3">
        <v>886198754914</v>
      </c>
    </row>
    <row r="153" spans="3:4">
      <c r="C153" s="2" t="s">
        <v>334</v>
      </c>
      <c r="D153" s="3">
        <v>886199084400</v>
      </c>
    </row>
    <row r="154" spans="3:4">
      <c r="C154" s="2" t="s">
        <v>114</v>
      </c>
      <c r="D154" s="3">
        <v>886198761980</v>
      </c>
    </row>
    <row r="155" spans="3:4">
      <c r="C155" s="2" t="s">
        <v>168</v>
      </c>
      <c r="D155" s="3">
        <v>886198718974</v>
      </c>
    </row>
    <row r="156" spans="3:4">
      <c r="C156" s="2" t="s">
        <v>88</v>
      </c>
      <c r="D156" s="3">
        <v>886198658092</v>
      </c>
    </row>
    <row r="157" spans="3:4">
      <c r="C157" s="2" t="s">
        <v>314</v>
      </c>
      <c r="D157" s="3">
        <v>886199457840</v>
      </c>
    </row>
    <row r="158" spans="3:4">
      <c r="C158" s="2" t="s">
        <v>78</v>
      </c>
      <c r="D158" s="3">
        <v>886197052296</v>
      </c>
    </row>
    <row r="159" spans="3:4">
      <c r="C159" s="2" t="s">
        <v>240</v>
      </c>
      <c r="D159" s="3">
        <v>886198958545</v>
      </c>
    </row>
    <row r="160" spans="3:4">
      <c r="C160" s="2" t="s">
        <v>238</v>
      </c>
      <c r="D160" s="3">
        <v>886198525810</v>
      </c>
    </row>
    <row r="161" spans="3:4">
      <c r="C161" s="2" t="s">
        <v>270</v>
      </c>
      <c r="D161" s="3">
        <v>886198235595</v>
      </c>
    </row>
    <row r="162" spans="3:4">
      <c r="C162" s="2" t="s">
        <v>428</v>
      </c>
      <c r="D162" s="3">
        <v>886200476725</v>
      </c>
    </row>
    <row r="163" spans="3:4">
      <c r="C163" s="2" t="s">
        <v>396</v>
      </c>
      <c r="D163" s="3">
        <v>886200883244</v>
      </c>
    </row>
    <row r="164" spans="3:4">
      <c r="C164" s="2" t="s">
        <v>248</v>
      </c>
      <c r="D164" s="3">
        <v>886198157668</v>
      </c>
    </row>
    <row r="165" spans="3:4">
      <c r="C165" s="2" t="s">
        <v>262</v>
      </c>
      <c r="D165" s="3">
        <v>886198628319</v>
      </c>
    </row>
    <row r="166" spans="3:4">
      <c r="C166" s="2" t="s">
        <v>256</v>
      </c>
      <c r="D166" s="3">
        <v>886198041460</v>
      </c>
    </row>
    <row r="167" spans="3:4">
      <c r="C167" s="2" t="s">
        <v>306</v>
      </c>
      <c r="D167" s="3">
        <v>886199988373</v>
      </c>
    </row>
    <row r="168" spans="3:4">
      <c r="C168" s="2" t="s">
        <v>350</v>
      </c>
      <c r="D168" s="3">
        <v>886199113438</v>
      </c>
    </row>
    <row r="169" spans="3:4">
      <c r="C169" s="2" t="s">
        <v>316</v>
      </c>
      <c r="D169" s="3">
        <v>886199578024</v>
      </c>
    </row>
    <row r="170" spans="3:4">
      <c r="C170" s="2" t="s">
        <v>58</v>
      </c>
      <c r="D170" s="3">
        <v>886197565233</v>
      </c>
    </row>
    <row r="171" spans="3:4">
      <c r="C171" s="2" t="s">
        <v>244</v>
      </c>
      <c r="D171" s="3">
        <v>886198133741</v>
      </c>
    </row>
    <row r="172" spans="3:4">
      <c r="C172" s="2" t="s">
        <v>186</v>
      </c>
      <c r="D172" s="3">
        <v>886198109819</v>
      </c>
    </row>
    <row r="173" spans="3:4">
      <c r="C173" s="2" t="s">
        <v>180</v>
      </c>
      <c r="D173" s="3">
        <v>886198055656</v>
      </c>
    </row>
    <row r="174" spans="3:4">
      <c r="C174" s="2" t="s">
        <v>184</v>
      </c>
      <c r="D174" s="3">
        <v>886198072680</v>
      </c>
    </row>
    <row r="175" spans="3:4">
      <c r="C175" s="2" t="s">
        <v>218</v>
      </c>
      <c r="D175" s="3">
        <v>886198610501</v>
      </c>
    </row>
    <row r="176" spans="3:4">
      <c r="C176" s="2" t="s">
        <v>268</v>
      </c>
      <c r="D176" s="3">
        <v>886198273162</v>
      </c>
    </row>
    <row r="177" spans="3:4">
      <c r="C177" s="2" t="s">
        <v>92</v>
      </c>
      <c r="D177" s="3">
        <v>886198117681</v>
      </c>
    </row>
    <row r="178" spans="3:4">
      <c r="C178" s="2" t="s">
        <v>324</v>
      </c>
      <c r="D178" s="3">
        <v>886199634345</v>
      </c>
    </row>
    <row r="179" spans="3:4">
      <c r="C179" s="2" t="s">
        <v>388</v>
      </c>
      <c r="D179" s="3">
        <v>886200032829</v>
      </c>
    </row>
    <row r="180" spans="3:4">
      <c r="C180" s="2" t="s">
        <v>398</v>
      </c>
      <c r="D180" s="3">
        <v>886200912975</v>
      </c>
    </row>
    <row r="181" spans="3:4">
      <c r="C181" s="2" t="s">
        <v>82</v>
      </c>
      <c r="D181" s="3">
        <v>886197919675</v>
      </c>
    </row>
    <row r="182" spans="3:4">
      <c r="C182" s="2" t="s">
        <v>76</v>
      </c>
      <c r="D182" s="3">
        <v>886197470431</v>
      </c>
    </row>
    <row r="183" spans="3:4">
      <c r="C183" s="2" t="s">
        <v>21</v>
      </c>
      <c r="D183" s="3">
        <v>886196095429</v>
      </c>
    </row>
    <row r="184" spans="3:4">
      <c r="C184" s="2" t="s">
        <v>17</v>
      </c>
      <c r="D184" s="3">
        <v>886197574578</v>
      </c>
    </row>
    <row r="185" spans="3:4">
      <c r="C185" s="2" t="s">
        <v>47</v>
      </c>
      <c r="D185" s="3">
        <v>886197702955</v>
      </c>
    </row>
    <row r="186" spans="3:4">
      <c r="C186" s="2" t="s">
        <v>258</v>
      </c>
      <c r="D186" s="3">
        <v>886198779249</v>
      </c>
    </row>
    <row r="187" spans="3:4">
      <c r="C187" s="2" t="s">
        <v>252</v>
      </c>
      <c r="D187" s="3">
        <v>886198690569</v>
      </c>
    </row>
    <row r="188" spans="3:4">
      <c r="C188" s="2" t="s">
        <v>272</v>
      </c>
      <c r="D188" s="3">
        <v>886198604470</v>
      </c>
    </row>
    <row r="189" spans="3:4">
      <c r="C189" s="2" t="s">
        <v>338</v>
      </c>
      <c r="D189" s="3">
        <v>886199467974</v>
      </c>
    </row>
    <row r="190" spans="3:4">
      <c r="C190" s="2" t="s">
        <v>326</v>
      </c>
      <c r="D190" s="3">
        <v>886199689647</v>
      </c>
    </row>
    <row r="191" spans="3:4">
      <c r="C191" s="2" t="s">
        <v>372</v>
      </c>
      <c r="D191" s="3">
        <v>886200933242</v>
      </c>
    </row>
    <row r="192" spans="3:4">
      <c r="C192" s="2" t="s">
        <v>10</v>
      </c>
      <c r="D192" s="3">
        <v>886196862578</v>
      </c>
    </row>
    <row r="193" spans="3:4">
      <c r="C193" s="2" t="s">
        <v>286</v>
      </c>
      <c r="D193" s="3">
        <v>886198650944</v>
      </c>
    </row>
    <row r="194" spans="3:4">
      <c r="C194" s="2" t="s">
        <v>418</v>
      </c>
      <c r="D194" s="3">
        <v>886200947007</v>
      </c>
    </row>
    <row r="195" spans="3:4">
      <c r="C195" s="2" t="s">
        <v>126</v>
      </c>
      <c r="D195" s="3">
        <v>886198672085</v>
      </c>
    </row>
    <row r="196" spans="3:4">
      <c r="C196" s="2" t="s">
        <v>134</v>
      </c>
      <c r="D196" s="3">
        <v>886198950809</v>
      </c>
    </row>
    <row r="197" spans="3:4">
      <c r="C197" s="2" t="s">
        <v>276</v>
      </c>
      <c r="D197" s="3">
        <v>886198713386</v>
      </c>
    </row>
    <row r="198" spans="3:4">
      <c r="C198" s="2" t="s">
        <v>296</v>
      </c>
      <c r="D198" s="3">
        <v>886199045745</v>
      </c>
    </row>
    <row r="199" spans="3:4">
      <c r="C199" s="2" t="s">
        <v>174</v>
      </c>
      <c r="D199" s="3">
        <v>886198231177</v>
      </c>
    </row>
    <row r="200" spans="3:4">
      <c r="C200" s="2" t="s">
        <v>144</v>
      </c>
      <c r="D200" s="3">
        <v>886198461511</v>
      </c>
    </row>
    <row r="201" spans="3:4">
      <c r="C201" s="2" t="s">
        <v>292</v>
      </c>
      <c r="D201" s="3">
        <v>886199294215</v>
      </c>
    </row>
    <row r="202" spans="3:4">
      <c r="C202" s="2" t="s">
        <v>366</v>
      </c>
      <c r="D202" s="3">
        <v>886200546583</v>
      </c>
    </row>
    <row r="203" spans="3:4">
      <c r="C203" s="2" t="s">
        <v>190</v>
      </c>
      <c r="D203" s="3">
        <v>886198811734</v>
      </c>
    </row>
    <row r="204" spans="3:4">
      <c r="C204" s="2" t="s">
        <v>118</v>
      </c>
      <c r="D204" s="3">
        <v>886198449783</v>
      </c>
    </row>
    <row r="205" spans="3:4">
      <c r="C205" s="2" t="s">
        <v>282</v>
      </c>
      <c r="D205" s="3">
        <v>886198269650</v>
      </c>
    </row>
    <row r="206" spans="3:4">
      <c r="C206" s="2" t="s">
        <v>98</v>
      </c>
      <c r="D206" s="3">
        <v>886198533858</v>
      </c>
    </row>
    <row r="207" spans="3:4">
      <c r="C207" s="2" t="s">
        <v>152</v>
      </c>
      <c r="D207" s="3">
        <v>886198812695</v>
      </c>
    </row>
    <row r="208" spans="3:4">
      <c r="C208" s="2" t="s">
        <v>204</v>
      </c>
      <c r="D208" s="3">
        <v>886198021172</v>
      </c>
    </row>
    <row r="209" spans="3:4">
      <c r="C209" s="2" t="s">
        <v>94</v>
      </c>
      <c r="D209" s="3">
        <v>876198106005</v>
      </c>
    </row>
    <row r="210" spans="3:4">
      <c r="C210" s="2" t="s">
        <v>298</v>
      </c>
      <c r="D210" s="3">
        <v>876199648939</v>
      </c>
    </row>
    <row r="211" spans="3:4">
      <c r="C211" s="2" t="s">
        <v>390</v>
      </c>
      <c r="D211" s="3">
        <v>886200072240</v>
      </c>
    </row>
    <row r="212" spans="3:4">
      <c r="C212" s="2" t="s">
        <v>410</v>
      </c>
      <c r="D212" s="3">
        <v>886200604535</v>
      </c>
    </row>
  </sheetData>
  <autoFilter ref="C2:D212" xr:uid="{00000000-0001-0000-0100-000000000000}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2026-07-20T12:21:31Z</dcterms:created>
  <dcterms:modified xsi:type="dcterms:W3CDTF">2026-10-16T10:06:45Z</dcterms:modified>
  <cp:category/>
  <cp:contentStatus/>
</cp:coreProperties>
</file>