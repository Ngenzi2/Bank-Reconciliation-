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kcbbankgroup-my.sharepoint.com/personal/rwa206217_bpr_rw/Documents/Desktop/DIGITAL BANKING/IREMBO/"/>
    </mc:Choice>
  </mc:AlternateContent>
  <xr:revisionPtr revIDLastSave="187" documentId="11_3E505E005B73DB614533B40DA23951679176C1B0" xr6:coauthVersionLast="47" xr6:coauthVersionMax="47" xr10:uidLastSave="{BB3D17AC-4F90-446A-89BA-D6FC35837C46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5" i="1"/>
  <c r="D6" i="1"/>
  <c r="D7" i="1"/>
  <c r="D8" i="1"/>
  <c r="D9" i="1"/>
  <c r="D10" i="1"/>
  <c r="D11" i="1"/>
  <c r="D12" i="1"/>
  <c r="D15" i="1"/>
  <c r="D17" i="1"/>
  <c r="D21" i="1"/>
  <c r="D23" i="1"/>
  <c r="D24" i="1"/>
  <c r="D25" i="1"/>
  <c r="D26" i="1"/>
  <c r="D28" i="1"/>
  <c r="D29" i="1"/>
  <c r="D30" i="1"/>
  <c r="D31" i="1"/>
  <c r="D32" i="1"/>
  <c r="D33" i="1"/>
  <c r="D34" i="1"/>
  <c r="D35" i="1"/>
  <c r="D36" i="1"/>
  <c r="D37" i="1"/>
  <c r="D38" i="1"/>
  <c r="D39" i="1"/>
  <c r="D41" i="1"/>
  <c r="D42" i="1"/>
  <c r="D44" i="1"/>
  <c r="D45" i="1"/>
  <c r="D46" i="1"/>
  <c r="D48" i="1"/>
  <c r="D52" i="1"/>
  <c r="D53" i="1"/>
  <c r="D54" i="1"/>
  <c r="D56" i="1"/>
  <c r="D57" i="1"/>
  <c r="D60" i="1"/>
  <c r="D61" i="1"/>
  <c r="D63" i="1"/>
  <c r="D64" i="1"/>
  <c r="D65" i="1"/>
  <c r="D67" i="1"/>
  <c r="D68" i="1"/>
  <c r="D70" i="1"/>
  <c r="D72" i="1"/>
  <c r="D73" i="1"/>
  <c r="D74" i="1"/>
  <c r="D76" i="1"/>
  <c r="D77" i="1"/>
  <c r="D78" i="1"/>
  <c r="D81" i="1"/>
  <c r="D85" i="1"/>
  <c r="D89" i="1"/>
  <c r="D90" i="1"/>
  <c r="D93" i="1"/>
  <c r="D110" i="1"/>
  <c r="D113" i="1"/>
  <c r="D120" i="1"/>
</calcChain>
</file>

<file path=xl/sharedStrings.xml><?xml version="1.0" encoding="utf-8"?>
<sst xmlns="http://schemas.openxmlformats.org/spreadsheetml/2006/main" count="614" uniqueCount="264">
  <si>
    <t>BOOKING_DATE</t>
  </si>
  <si>
    <t>BANK_REFERENCE</t>
  </si>
  <si>
    <t>DESCRIPTION</t>
  </si>
  <si>
    <t>INVOICE NUMBERS</t>
  </si>
  <si>
    <t>VALUE_DATE</t>
  </si>
  <si>
    <t>DEBIT</t>
  </si>
  <si>
    <t>CREDIT</t>
  </si>
  <si>
    <t>CLOSING_BALANCE</t>
  </si>
  <si>
    <t>2026-07-08</t>
  </si>
  <si>
    <t>FT26189Z9S18</t>
  </si>
  <si>
    <t>SZ009TRU1D9F</t>
  </si>
  <si>
    <t>08-JUL-26</t>
  </si>
  <si>
    <t>FT26189J1Q2S</t>
  </si>
  <si>
    <t>20144481192</t>
  </si>
  <si>
    <t>FT26189K5ZM3</t>
  </si>
  <si>
    <t>20144483066</t>
  </si>
  <si>
    <t>FT26189239M9</t>
  </si>
  <si>
    <t>SZ609T8D5UFY</t>
  </si>
  <si>
    <t>FT26189MXT76</t>
  </si>
  <si>
    <t>SZR09TYZJDEC</t>
  </si>
  <si>
    <t>FT26189MMK5J</t>
  </si>
  <si>
    <t>SZG09T82X77B</t>
  </si>
  <si>
    <t>FT26189SC1TX</t>
  </si>
  <si>
    <t>SZX09T6SZBRC</t>
  </si>
  <si>
    <t>FT26189BY8JY</t>
  </si>
  <si>
    <t>SZR09T6XXMWK</t>
  </si>
  <si>
    <t>FT261897DHJM</t>
  </si>
  <si>
    <t>SZB09TUCW3GS</t>
  </si>
  <si>
    <t>FT26189BJR7K</t>
  </si>
  <si>
    <t>SZR09UAYMQPC</t>
  </si>
  <si>
    <t>FT2618958LDG</t>
  </si>
  <si>
    <t>SZR09TQZZ560</t>
  </si>
  <si>
    <t>FT26189Y7BX4</t>
  </si>
  <si>
    <t>20144489608</t>
  </si>
  <si>
    <t>FT26189DMBF5</t>
  </si>
  <si>
    <t>20144481227</t>
  </si>
  <si>
    <t>FT2618955022</t>
  </si>
  <si>
    <t>SZB09T8WKD3X</t>
  </si>
  <si>
    <t>FT26189NBWKG</t>
  </si>
  <si>
    <t>20144481242</t>
  </si>
  <si>
    <t>FT261898L2B5</t>
  </si>
  <si>
    <t>SZK09TQA4N5H</t>
  </si>
  <si>
    <t>FT26189RC667</t>
  </si>
  <si>
    <t>20144481245</t>
  </si>
  <si>
    <t>FT26189VNS24</t>
  </si>
  <si>
    <t>20144485450</t>
  </si>
  <si>
    <t>FT26189X6S37</t>
  </si>
  <si>
    <t>20144481252</t>
  </si>
  <si>
    <t>FT26189SMNKM</t>
  </si>
  <si>
    <t>SZG09UFCL9G9</t>
  </si>
  <si>
    <t>FT26189998XD</t>
  </si>
  <si>
    <t>20144485529</t>
  </si>
  <si>
    <t>FT26189ZPFFW</t>
  </si>
  <si>
    <t>SZ809T7SFF19</t>
  </si>
  <si>
    <t>FT26189KG56V</t>
  </si>
  <si>
    <t>SZE09TRNUVBC</t>
  </si>
  <si>
    <t>FT261893Y7BT</t>
  </si>
  <si>
    <t>SZ009UC86YQT</t>
  </si>
  <si>
    <t>FT26189ZQ4PQ</t>
  </si>
  <si>
    <t>SZZ09TQMD1UC</t>
  </si>
  <si>
    <t>FT26189WBYPR</t>
  </si>
  <si>
    <t>20144481256</t>
  </si>
  <si>
    <t>FT2618925WPK</t>
  </si>
  <si>
    <t>SZ009TQJSYGW</t>
  </si>
  <si>
    <t>FT26189J46N0</t>
  </si>
  <si>
    <t>SZM09T7J4R4T</t>
  </si>
  <si>
    <t>FT26189LSBSF</t>
  </si>
  <si>
    <t>SZQ09UDEZHBV</t>
  </si>
  <si>
    <t>FT261890QBG1</t>
  </si>
  <si>
    <t>SZU09T04H2V3</t>
  </si>
  <si>
    <t>FT26189S2H37</t>
  </si>
  <si>
    <t>SZ809T9F6109</t>
  </si>
  <si>
    <t>FT2618907HG5</t>
  </si>
  <si>
    <t>SZ409TQR7SRA</t>
  </si>
  <si>
    <t>FT26189DKTB1</t>
  </si>
  <si>
    <t>SZF09TQS3ALX</t>
  </si>
  <si>
    <t>FT26189Q9853</t>
  </si>
  <si>
    <t>SZ109TZXQWCZ</t>
  </si>
  <si>
    <t>FT26189K5VX5</t>
  </si>
  <si>
    <t>SZW09T9LLMNY</t>
  </si>
  <si>
    <t>FT26189B5K5P</t>
  </si>
  <si>
    <t>SZR09UC13WPP</t>
  </si>
  <si>
    <t>FT26189FF9X6</t>
  </si>
  <si>
    <t>SZB09T8LVNRV</t>
  </si>
  <si>
    <t>FT26189TVGNG</t>
  </si>
  <si>
    <t>SZ309TQL90KR</t>
  </si>
  <si>
    <t>FT26189BVL0S</t>
  </si>
  <si>
    <t>SZ209TQ6W833</t>
  </si>
  <si>
    <t>FT26189T1VXF</t>
  </si>
  <si>
    <t>SZ409UAE95NT</t>
  </si>
  <si>
    <t>FT26189X90ZK</t>
  </si>
  <si>
    <t>SZ809UAQHWR1</t>
  </si>
  <si>
    <t>FT26189PHTST</t>
  </si>
  <si>
    <t>SZ009T8Q9ZU1</t>
  </si>
  <si>
    <t>FT26189BSBG1</t>
  </si>
  <si>
    <t>SZY09T01PXTZ</t>
  </si>
  <si>
    <t>FT26189MHS0M</t>
  </si>
  <si>
    <t>SZA09T2BRDBL</t>
  </si>
  <si>
    <t>FT26189Y6K9Z</t>
  </si>
  <si>
    <t>SZK09UG91LSM</t>
  </si>
  <si>
    <t>FT26189GJWR9</t>
  </si>
  <si>
    <t>20144482632</t>
  </si>
  <si>
    <t>FT26189G1B5X</t>
  </si>
  <si>
    <t>SZ709TSQDQP6</t>
  </si>
  <si>
    <t>FT26189B9DC7</t>
  </si>
  <si>
    <t>20144481232</t>
  </si>
  <si>
    <t>FT26189PVFN4</t>
  </si>
  <si>
    <t>20144481251</t>
  </si>
  <si>
    <t>FT2618939NS4</t>
  </si>
  <si>
    <t>SZ409T9QG3YA</t>
  </si>
  <si>
    <t>FT26189SH33V</t>
  </si>
  <si>
    <t>SZB09TW5KBA7</t>
  </si>
  <si>
    <t>FT26189KCJM5</t>
  </si>
  <si>
    <t>SZP09TMLEWRL</t>
  </si>
  <si>
    <t>FT26189XCXSV</t>
  </si>
  <si>
    <t>SZD09TX5KXE3</t>
  </si>
  <si>
    <t>FT26189F25Z1</t>
  </si>
  <si>
    <t>SZ109UBMPLB8</t>
  </si>
  <si>
    <t>FT26189RSNYF</t>
  </si>
  <si>
    <t>SZU09T7B9CV4</t>
  </si>
  <si>
    <t>FT261894BM34</t>
  </si>
  <si>
    <t>SZK09T1JUGKT</t>
  </si>
  <si>
    <t>FT26189H4BTX</t>
  </si>
  <si>
    <t>20144482948</t>
  </si>
  <si>
    <t>FT261895ZL37</t>
  </si>
  <si>
    <t>SZA09T2T6BPR</t>
  </si>
  <si>
    <t>FT26189M7ZD7</t>
  </si>
  <si>
    <t>SZL09T5NU8HB</t>
  </si>
  <si>
    <t>FT26189LS7WW</t>
  </si>
  <si>
    <t>SZK09UGBUE6G</t>
  </si>
  <si>
    <t>FT26189C2MJM</t>
  </si>
  <si>
    <t>SZA09TQCQ0KU</t>
  </si>
  <si>
    <t>FT26189KKMT2</t>
  </si>
  <si>
    <t>SZE09T30XYKB</t>
  </si>
  <si>
    <t>FT26189LXQ6K</t>
  </si>
  <si>
    <t>SZH09TQ7MU7C</t>
  </si>
  <si>
    <t>FT261897LZQP</t>
  </si>
  <si>
    <t>SZN09T8G5T5W</t>
  </si>
  <si>
    <t>FT2618979SCQ</t>
  </si>
  <si>
    <t>20144486806</t>
  </si>
  <si>
    <t>FT261898FV24</t>
  </si>
  <si>
    <t>SZQ09TX19LXQ</t>
  </si>
  <si>
    <t>FT2618962VQ9</t>
  </si>
  <si>
    <t>SZH09T758AZ3</t>
  </si>
  <si>
    <t>FT26189M5JJ6</t>
  </si>
  <si>
    <t>SZ309TQFKNDN</t>
  </si>
  <si>
    <t>FT26189RPWMS</t>
  </si>
  <si>
    <t>SZW09T2LF4XY</t>
  </si>
  <si>
    <t>FT26189NN67V</t>
  </si>
  <si>
    <t>20144471688</t>
  </si>
  <si>
    <t>FT26189BXR6T</t>
  </si>
  <si>
    <t>SZY09UBFF880</t>
  </si>
  <si>
    <t>FT261892ZXSN</t>
  </si>
  <si>
    <t>SZM09T7ZNXJM</t>
  </si>
  <si>
    <t>FT261895B0F3</t>
  </si>
  <si>
    <t>SZX09TMTHYUQ</t>
  </si>
  <si>
    <t>FT26189FM69L</t>
  </si>
  <si>
    <t>SZ009TT9PXEN</t>
  </si>
  <si>
    <t>FT26189H8QVZ</t>
  </si>
  <si>
    <t>SZL09TYH5F09</t>
  </si>
  <si>
    <t>FT26189P7DDZ</t>
  </si>
  <si>
    <t>SZR09TYSMVKU</t>
  </si>
  <si>
    <t>FT261891XW4W</t>
  </si>
  <si>
    <t>SZX09T659HV7</t>
  </si>
  <si>
    <t>FT26189J8JJJ</t>
  </si>
  <si>
    <t>20144481241</t>
  </si>
  <si>
    <t>FT26189GF4RD</t>
  </si>
  <si>
    <t>20144481228</t>
  </si>
  <si>
    <t>FT26189QV6LR</t>
  </si>
  <si>
    <t>SZZ09T7EKZ16</t>
  </si>
  <si>
    <t>FT261894TLTN</t>
  </si>
  <si>
    <t>20144488904</t>
  </si>
  <si>
    <t>FT26189P3BB7</t>
  </si>
  <si>
    <t>SZF09UCYKKA7</t>
  </si>
  <si>
    <t>FT26189H35ZL</t>
  </si>
  <si>
    <t>20144481254</t>
  </si>
  <si>
    <t>FT261897BRRF</t>
  </si>
  <si>
    <t>SZW09T00GTPU</t>
  </si>
  <si>
    <t>FT26189JPT2Y</t>
  </si>
  <si>
    <t>SZ109UCVV2ZG</t>
  </si>
  <si>
    <t>FT261890YF1P</t>
  </si>
  <si>
    <t>20144489616</t>
  </si>
  <si>
    <t>FT26189GQKZ5</t>
  </si>
  <si>
    <t>SZD09T78U1B5</t>
  </si>
  <si>
    <t>FT26189PBQ17</t>
  </si>
  <si>
    <t>SZQ09T9CMT5G</t>
  </si>
  <si>
    <t>FT261896F5XF</t>
  </si>
  <si>
    <t>SZM09TU5FA4H</t>
  </si>
  <si>
    <t>FT26189WYP8R</t>
  </si>
  <si>
    <t>SZJ09TG60XJN</t>
  </si>
  <si>
    <t>FT26189VKQZG</t>
  </si>
  <si>
    <t>20144488481</t>
  </si>
  <si>
    <t>FT26189H7MB5</t>
  </si>
  <si>
    <t>SZV09T7BG8CQ</t>
  </si>
  <si>
    <t>FT26189L68BY</t>
  </si>
  <si>
    <t>SZH09TVYJ6B7</t>
  </si>
  <si>
    <t>FT26189F17DT</t>
  </si>
  <si>
    <t>SZF09T89A789</t>
  </si>
  <si>
    <t>FT26189H9G6B</t>
  </si>
  <si>
    <t>SZJ09TZTGY1C</t>
  </si>
  <si>
    <t>FT26189791MD</t>
  </si>
  <si>
    <t>SZ309UA0M42L</t>
  </si>
  <si>
    <t>FT26189JFSBZ</t>
  </si>
  <si>
    <t>SZD09TPYA0P1</t>
  </si>
  <si>
    <t>FT26189R1ZXQ</t>
  </si>
  <si>
    <t>SZ309TRF04R6</t>
  </si>
  <si>
    <t>FT26189NC8VF</t>
  </si>
  <si>
    <t>SZ809T02N9TY</t>
  </si>
  <si>
    <t>FT261898NR4Z</t>
  </si>
  <si>
    <t>SZF09UBCE5TX</t>
  </si>
  <si>
    <t>FT26189WGDHQ</t>
  </si>
  <si>
    <t>SZC09T0W5605</t>
  </si>
  <si>
    <t>FT26189WFPGN</t>
  </si>
  <si>
    <t>SZP09TXB5501</t>
  </si>
  <si>
    <t>FT26189BG36H</t>
  </si>
  <si>
    <t>SZC09TMEM3M1</t>
  </si>
  <si>
    <t>FT26189SGZ42</t>
  </si>
  <si>
    <t>SZK09T63XL99</t>
  </si>
  <si>
    <t>FT261891KN22</t>
  </si>
  <si>
    <t>SZR09T4F3S1C</t>
  </si>
  <si>
    <t>FT26189J1TCP</t>
  </si>
  <si>
    <t>20144489687</t>
  </si>
  <si>
    <t>FT26189F9ZH1</t>
  </si>
  <si>
    <t>SZ409T7V6EPU</t>
  </si>
  <si>
    <t>FT26189XYF31</t>
  </si>
  <si>
    <t>SZ909T8XLFE1</t>
  </si>
  <si>
    <t>FT26189MSWPS</t>
  </si>
  <si>
    <t>SZS09TLNTGFK</t>
  </si>
  <si>
    <t>FT26189VT2CP</t>
  </si>
  <si>
    <t>20144483504</t>
  </si>
  <si>
    <t>FT261894TSP5</t>
  </si>
  <si>
    <t>SZG09TX372F3</t>
  </si>
  <si>
    <t>FT26189GH633</t>
  </si>
  <si>
    <t>SZZ09TR6JJ1N</t>
  </si>
  <si>
    <t>FT261891509L</t>
  </si>
  <si>
    <t>SZU09T10H64T</t>
  </si>
  <si>
    <t>FT261890YTZ3</t>
  </si>
  <si>
    <t>20144482323</t>
  </si>
  <si>
    <t>FT26189N92FW</t>
  </si>
  <si>
    <t>20144489185</t>
  </si>
  <si>
    <t>FT26189TFD5R</t>
  </si>
  <si>
    <t>20144489211</t>
  </si>
  <si>
    <t>FT26189B2Y1F</t>
  </si>
  <si>
    <t>SZ809UAVB69H</t>
  </si>
  <si>
    <t>FT26189JHQXT</t>
  </si>
  <si>
    <t>SZD09TL964W8</t>
  </si>
  <si>
    <t>FT26189KB581</t>
  </si>
  <si>
    <t>SZY09TVSZ5TD</t>
  </si>
  <si>
    <t>FT261894ZZS2</t>
  </si>
  <si>
    <t>SZH09UALW6L1</t>
  </si>
  <si>
    <t>FT2618952Q56</t>
  </si>
  <si>
    <t>SZK09UACS747</t>
  </si>
  <si>
    <t>FT26189YVG15</t>
  </si>
  <si>
    <t>SZB09T5YTHK7</t>
  </si>
  <si>
    <t>FT26189GTB0T</t>
  </si>
  <si>
    <t>SZM09UAS45CT</t>
  </si>
  <si>
    <t>FT26189KVJ6X</t>
  </si>
  <si>
    <t>SZB09TSNNR7C</t>
  </si>
  <si>
    <t>FT26189C67XR</t>
  </si>
  <si>
    <t>20144481210</t>
  </si>
  <si>
    <t>FT261899SLBS</t>
  </si>
  <si>
    <t>SZE09T8GL1CN</t>
  </si>
  <si>
    <t>FT26189L38PH</t>
  </si>
  <si>
    <t>SZY09TNYKKHN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</si>
</sst>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name val="Dialog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/>
    </xf>
    <xf numFmtId="1" fontId="0" fillId="0" borderId="0" xfId="0" applyNumberFormat="1"/>
    <xf numFmtId="0" fontId="0" fillId="2" borderId="0" xfId="0" applyFill="1"/>
    <xf numFmtId="2" fontId="0" fillId="2" borderId="0" xfId="0" applyNumberForma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28"/>
  <sheetViews>
    <sheetView tabSelected="1" topLeftCell="B1" zoomScaleNormal="100" workbookViewId="0">
      <pane ySplit="1" topLeftCell="A109" activePane="bottomLeft" state="frozen"/>
      <selection pane="bottomLeft" activeCell="A2" sqref="A2:H128"/>
    </sheetView>
  </sheetViews>
  <sheetFormatPr defaultRowHeight="14.45"/>
  <cols>
    <col min="1" max="1" width="12.5703125" customWidth="1"/>
    <col min="2" max="2" width="18.28515625" bestFit="1" customWidth="1"/>
    <col min="3" max="3" width="14.85546875" bestFit="1" customWidth="1"/>
    <col min="4" max="4" width="24.42578125" style="5" customWidth="1"/>
    <col min="5" max="5" width="11.28515625" bestFit="1" customWidth="1"/>
    <col min="7" max="7" width="7.42578125" bestFit="1" customWidth="1"/>
    <col min="8" max="8" width="17.140625" bestFit="1" customWidth="1"/>
  </cols>
  <sheetData>
    <row r="1" spans="1:8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t="s">
        <v>8</v>
      </c>
      <c r="B2" t="s">
        <v>9</v>
      </c>
      <c r="C2" t="s">
        <v>10</v>
      </c>
      <c r="D2" s="2">
        <f>_xlfn.XLOOKUP(C2,SQL!D1:D126,SQL!E1:E126)</f>
        <v>886189871815</v>
      </c>
      <c r="E2" t="s">
        <v>11</v>
      </c>
      <c r="F2" s="1">
        <v>0</v>
      </c>
      <c r="G2" s="1">
        <v>20000</v>
      </c>
      <c r="H2" s="1">
        <v>1779976</v>
      </c>
    </row>
    <row r="3" spans="1:8">
      <c r="A3" t="s">
        <v>8</v>
      </c>
      <c r="B3" t="s">
        <v>12</v>
      </c>
      <c r="C3" t="s">
        <v>13</v>
      </c>
      <c r="D3" s="2">
        <v>886189659968</v>
      </c>
      <c r="E3" t="s">
        <v>11</v>
      </c>
      <c r="F3" s="1">
        <v>0</v>
      </c>
      <c r="G3" s="1">
        <v>25000</v>
      </c>
      <c r="H3" s="1">
        <v>1804976</v>
      </c>
    </row>
    <row r="4" spans="1:8">
      <c r="A4" t="s">
        <v>8</v>
      </c>
      <c r="B4" t="s">
        <v>14</v>
      </c>
      <c r="C4" t="s">
        <v>15</v>
      </c>
      <c r="D4" s="2">
        <v>886189963294</v>
      </c>
      <c r="E4" t="s">
        <v>11</v>
      </c>
      <c r="F4" s="1">
        <v>0</v>
      </c>
      <c r="G4" s="1">
        <v>3000</v>
      </c>
      <c r="H4" s="1">
        <v>1807976</v>
      </c>
    </row>
    <row r="5" spans="1:8">
      <c r="A5" t="s">
        <v>8</v>
      </c>
      <c r="B5" t="s">
        <v>16</v>
      </c>
      <c r="C5" t="s">
        <v>17</v>
      </c>
      <c r="D5" s="2">
        <f>_xlfn.XLOOKUP(C5,SQL!D4:D129,SQL!E4:E129)</f>
        <v>886189938482</v>
      </c>
      <c r="E5" t="s">
        <v>11</v>
      </c>
      <c r="F5" s="1">
        <v>0</v>
      </c>
      <c r="G5" s="1">
        <v>9000</v>
      </c>
      <c r="H5" s="1">
        <v>1816976</v>
      </c>
    </row>
    <row r="6" spans="1:8">
      <c r="A6" t="s">
        <v>8</v>
      </c>
      <c r="B6" t="s">
        <v>18</v>
      </c>
      <c r="C6" t="s">
        <v>19</v>
      </c>
      <c r="D6" s="2">
        <f>_xlfn.XLOOKUP(C6,SQL!D5:D130,SQL!E5:E130)</f>
        <v>886189263215</v>
      </c>
      <c r="E6" t="s">
        <v>11</v>
      </c>
      <c r="F6" s="1">
        <v>0</v>
      </c>
      <c r="G6" s="1">
        <v>18000</v>
      </c>
      <c r="H6" s="1">
        <v>1834976</v>
      </c>
    </row>
    <row r="7" spans="1:8">
      <c r="A7" t="s">
        <v>8</v>
      </c>
      <c r="B7" t="s">
        <v>20</v>
      </c>
      <c r="C7" t="s">
        <v>21</v>
      </c>
      <c r="D7" s="2">
        <f>_xlfn.XLOOKUP(C7,SQL!D6:D131,SQL!E6:E131)</f>
        <v>886189488785</v>
      </c>
      <c r="E7" t="s">
        <v>11</v>
      </c>
      <c r="F7" s="1">
        <v>0</v>
      </c>
      <c r="G7" s="1">
        <v>18000</v>
      </c>
      <c r="H7" s="1">
        <v>1852976</v>
      </c>
    </row>
    <row r="8" spans="1:8">
      <c r="A8" t="s">
        <v>8</v>
      </c>
      <c r="B8" t="s">
        <v>22</v>
      </c>
      <c r="C8" t="s">
        <v>23</v>
      </c>
      <c r="D8" s="2">
        <f>_xlfn.XLOOKUP(C8,SQL!D7:D132,SQL!E7:E132)</f>
        <v>886189729391</v>
      </c>
      <c r="E8" t="s">
        <v>11</v>
      </c>
      <c r="F8" s="1">
        <v>0</v>
      </c>
      <c r="G8" s="1">
        <v>20000</v>
      </c>
      <c r="H8" s="1">
        <v>1872976</v>
      </c>
    </row>
    <row r="9" spans="1:8">
      <c r="A9" t="s">
        <v>8</v>
      </c>
      <c r="B9" t="s">
        <v>24</v>
      </c>
      <c r="C9" t="s">
        <v>25</v>
      </c>
      <c r="D9" s="2">
        <f>_xlfn.XLOOKUP(C9,SQL!D8:D133,SQL!E8:E133)</f>
        <v>886189558790</v>
      </c>
      <c r="E9" t="s">
        <v>11</v>
      </c>
      <c r="F9" s="1">
        <v>0</v>
      </c>
      <c r="G9" s="1">
        <v>25000</v>
      </c>
      <c r="H9" s="1">
        <v>1897976</v>
      </c>
    </row>
    <row r="10" spans="1:8">
      <c r="A10" t="s">
        <v>8</v>
      </c>
      <c r="B10" t="s">
        <v>26</v>
      </c>
      <c r="C10" t="s">
        <v>27</v>
      </c>
      <c r="D10" s="2">
        <f>_xlfn.XLOOKUP(C10,SQL!D9:D134,SQL!E9:E134)</f>
        <v>886189606302</v>
      </c>
      <c r="E10" t="s">
        <v>11</v>
      </c>
      <c r="F10" s="1">
        <v>0</v>
      </c>
      <c r="G10" s="1">
        <v>15000</v>
      </c>
      <c r="H10" s="1">
        <v>1912976</v>
      </c>
    </row>
    <row r="11" spans="1:8">
      <c r="A11" t="s">
        <v>8</v>
      </c>
      <c r="B11" t="s">
        <v>28</v>
      </c>
      <c r="C11" t="s">
        <v>29</v>
      </c>
      <c r="D11" s="2">
        <f>_xlfn.XLOOKUP(C11,SQL!D10:D135,SQL!E10:E135)</f>
        <v>886189501484</v>
      </c>
      <c r="E11" t="s">
        <v>11</v>
      </c>
      <c r="F11" s="1">
        <v>0</v>
      </c>
      <c r="G11" s="1">
        <v>3000</v>
      </c>
      <c r="H11" s="1">
        <v>1915976</v>
      </c>
    </row>
    <row r="12" spans="1:8">
      <c r="A12" t="s">
        <v>8</v>
      </c>
      <c r="B12" t="s">
        <v>30</v>
      </c>
      <c r="C12" t="s">
        <v>31</v>
      </c>
      <c r="D12" s="2">
        <f>_xlfn.XLOOKUP(C12,SQL!D11:D136,SQL!E11:E136)</f>
        <v>886189111372</v>
      </c>
      <c r="E12" t="s">
        <v>11</v>
      </c>
      <c r="F12" s="1">
        <v>0</v>
      </c>
      <c r="G12" s="1">
        <v>35000</v>
      </c>
      <c r="H12" s="1">
        <v>1950976</v>
      </c>
    </row>
    <row r="13" spans="1:8">
      <c r="A13" t="s">
        <v>8</v>
      </c>
      <c r="B13" t="s">
        <v>32</v>
      </c>
      <c r="C13" t="s">
        <v>33</v>
      </c>
      <c r="D13" s="2">
        <v>886189023564</v>
      </c>
      <c r="E13" t="s">
        <v>11</v>
      </c>
      <c r="F13" s="1">
        <v>0</v>
      </c>
      <c r="G13" s="1">
        <v>48000</v>
      </c>
      <c r="H13" s="1">
        <v>1998976</v>
      </c>
    </row>
    <row r="14" spans="1:8">
      <c r="A14" t="s">
        <v>8</v>
      </c>
      <c r="B14" t="s">
        <v>34</v>
      </c>
      <c r="C14" t="s">
        <v>35</v>
      </c>
      <c r="D14" s="2">
        <v>886189875486</v>
      </c>
      <c r="E14" t="s">
        <v>11</v>
      </c>
      <c r="F14" s="1">
        <v>0</v>
      </c>
      <c r="G14" s="1">
        <v>9000</v>
      </c>
      <c r="H14" s="1">
        <v>2007976</v>
      </c>
    </row>
    <row r="15" spans="1:8">
      <c r="A15" t="s">
        <v>8</v>
      </c>
      <c r="B15" t="s">
        <v>36</v>
      </c>
      <c r="C15" t="s">
        <v>37</v>
      </c>
      <c r="D15" s="2">
        <f>_xlfn.XLOOKUP(C15,SQL!D14:D139,SQL!E14:E139)</f>
        <v>886189698534</v>
      </c>
      <c r="E15" t="s">
        <v>11</v>
      </c>
      <c r="F15" s="1">
        <v>0</v>
      </c>
      <c r="G15" s="1">
        <v>20000</v>
      </c>
      <c r="H15" s="1">
        <v>2027976</v>
      </c>
    </row>
    <row r="16" spans="1:8">
      <c r="A16" t="s">
        <v>8</v>
      </c>
      <c r="B16" t="s">
        <v>38</v>
      </c>
      <c r="C16" t="s">
        <v>39</v>
      </c>
      <c r="D16" s="2">
        <v>886189398153</v>
      </c>
      <c r="E16" t="s">
        <v>11</v>
      </c>
      <c r="F16" s="1">
        <v>0</v>
      </c>
      <c r="G16" s="1">
        <v>15000</v>
      </c>
      <c r="H16" s="1">
        <v>2042976</v>
      </c>
    </row>
    <row r="17" spans="1:8">
      <c r="A17" t="s">
        <v>8</v>
      </c>
      <c r="B17" t="s">
        <v>40</v>
      </c>
      <c r="C17" t="s">
        <v>41</v>
      </c>
      <c r="D17" s="2">
        <f>_xlfn.XLOOKUP(C17,SQL!D16:D141,SQL!E16:E141)</f>
        <v>886189172474</v>
      </c>
      <c r="E17" t="s">
        <v>11</v>
      </c>
      <c r="F17" s="1">
        <v>0</v>
      </c>
      <c r="G17" s="1">
        <v>10000</v>
      </c>
      <c r="H17" s="1">
        <v>2052976</v>
      </c>
    </row>
    <row r="18" spans="1:8">
      <c r="A18" t="s">
        <v>8</v>
      </c>
      <c r="B18" t="s">
        <v>42</v>
      </c>
      <c r="C18" t="s">
        <v>43</v>
      </c>
      <c r="D18" s="2">
        <v>886189907722</v>
      </c>
      <c r="E18" t="s">
        <v>11</v>
      </c>
      <c r="F18" s="1">
        <v>0</v>
      </c>
      <c r="G18" s="1">
        <v>5000</v>
      </c>
      <c r="H18" s="1">
        <v>2057976</v>
      </c>
    </row>
    <row r="19" spans="1:8">
      <c r="A19" t="s">
        <v>8</v>
      </c>
      <c r="B19" t="s">
        <v>44</v>
      </c>
      <c r="C19" t="s">
        <v>45</v>
      </c>
      <c r="D19" s="2">
        <v>886189464849</v>
      </c>
      <c r="E19" t="s">
        <v>11</v>
      </c>
      <c r="F19" s="1">
        <v>0</v>
      </c>
      <c r="G19" s="1">
        <v>10000</v>
      </c>
      <c r="H19" s="1">
        <v>2067976</v>
      </c>
    </row>
    <row r="20" spans="1:8">
      <c r="A20" t="s">
        <v>8</v>
      </c>
      <c r="B20" t="s">
        <v>46</v>
      </c>
      <c r="C20" t="s">
        <v>47</v>
      </c>
      <c r="D20" s="2">
        <v>886189016234</v>
      </c>
      <c r="E20" t="s">
        <v>11</v>
      </c>
      <c r="F20" s="1">
        <v>0</v>
      </c>
      <c r="G20" s="1">
        <v>28000</v>
      </c>
      <c r="H20" s="1">
        <v>2095976</v>
      </c>
    </row>
    <row r="21" spans="1:8">
      <c r="A21" t="s">
        <v>8</v>
      </c>
      <c r="B21" t="s">
        <v>48</v>
      </c>
      <c r="C21" t="s">
        <v>49</v>
      </c>
      <c r="D21" s="2">
        <f>_xlfn.XLOOKUP(C21,SQL!D20:D145,SQL!E20:E145)</f>
        <v>886189795475</v>
      </c>
      <c r="E21" t="s">
        <v>11</v>
      </c>
      <c r="F21" s="1">
        <v>0</v>
      </c>
      <c r="G21" s="1">
        <v>2000</v>
      </c>
      <c r="H21" s="1">
        <v>2097976</v>
      </c>
    </row>
    <row r="22" spans="1:8">
      <c r="A22" t="s">
        <v>8</v>
      </c>
      <c r="B22" t="s">
        <v>50</v>
      </c>
      <c r="C22" t="s">
        <v>51</v>
      </c>
      <c r="D22" s="2">
        <v>886189221879</v>
      </c>
      <c r="E22" t="s">
        <v>11</v>
      </c>
      <c r="F22" s="1">
        <v>0</v>
      </c>
      <c r="G22" s="1">
        <v>12000</v>
      </c>
      <c r="H22" s="1">
        <v>2109976</v>
      </c>
    </row>
    <row r="23" spans="1:8">
      <c r="A23" t="s">
        <v>8</v>
      </c>
      <c r="B23" t="s">
        <v>52</v>
      </c>
      <c r="C23" t="s">
        <v>53</v>
      </c>
      <c r="D23" s="2">
        <f>_xlfn.XLOOKUP(C23,SQL!D22:D147,SQL!E22:E147)</f>
        <v>886189900419</v>
      </c>
      <c r="E23" t="s">
        <v>11</v>
      </c>
      <c r="F23" s="1">
        <v>0</v>
      </c>
      <c r="G23" s="1">
        <v>5000</v>
      </c>
      <c r="H23" s="1">
        <v>2114976</v>
      </c>
    </row>
    <row r="24" spans="1:8">
      <c r="A24" t="s">
        <v>8</v>
      </c>
      <c r="B24" t="s">
        <v>54</v>
      </c>
      <c r="C24" t="s">
        <v>55</v>
      </c>
      <c r="D24" s="2">
        <f>_xlfn.XLOOKUP(C24,SQL!D23:D148,SQL!E23:E148)</f>
        <v>886189941357</v>
      </c>
      <c r="E24" t="s">
        <v>11</v>
      </c>
      <c r="F24" s="1">
        <v>0</v>
      </c>
      <c r="G24" s="1">
        <v>15000</v>
      </c>
      <c r="H24" s="1">
        <v>2129976</v>
      </c>
    </row>
    <row r="25" spans="1:8">
      <c r="A25" t="s">
        <v>8</v>
      </c>
      <c r="B25" t="s">
        <v>56</v>
      </c>
      <c r="C25" t="s">
        <v>57</v>
      </c>
      <c r="D25" s="2">
        <f>_xlfn.XLOOKUP(C25,SQL!D24:D149,SQL!E24:E149)</f>
        <v>886189558922</v>
      </c>
      <c r="E25" t="s">
        <v>11</v>
      </c>
      <c r="F25" s="1">
        <v>0</v>
      </c>
      <c r="G25" s="1">
        <v>9000</v>
      </c>
      <c r="H25" s="1">
        <v>2138976</v>
      </c>
    </row>
    <row r="26" spans="1:8">
      <c r="A26" t="s">
        <v>8</v>
      </c>
      <c r="B26" t="s">
        <v>58</v>
      </c>
      <c r="C26" t="s">
        <v>59</v>
      </c>
      <c r="D26" s="2">
        <f>_xlfn.XLOOKUP(C26,SQL!D25:D150,SQL!E25:E150)</f>
        <v>886189297517</v>
      </c>
      <c r="E26" t="s">
        <v>11</v>
      </c>
      <c r="F26" s="1">
        <v>0</v>
      </c>
      <c r="G26" s="1">
        <v>4000</v>
      </c>
      <c r="H26" s="1">
        <v>2142976</v>
      </c>
    </row>
    <row r="27" spans="1:8">
      <c r="A27" t="s">
        <v>8</v>
      </c>
      <c r="B27" t="s">
        <v>60</v>
      </c>
      <c r="C27" t="s">
        <v>61</v>
      </c>
      <c r="D27" s="2">
        <v>886189560204</v>
      </c>
      <c r="E27" t="s">
        <v>11</v>
      </c>
      <c r="F27" s="1">
        <v>0</v>
      </c>
      <c r="G27" s="1">
        <v>5000</v>
      </c>
      <c r="H27" s="1">
        <v>2147976</v>
      </c>
    </row>
    <row r="28" spans="1:8">
      <c r="A28" t="s">
        <v>8</v>
      </c>
      <c r="B28" t="s">
        <v>62</v>
      </c>
      <c r="C28" t="s">
        <v>63</v>
      </c>
      <c r="D28" s="2">
        <f>_xlfn.XLOOKUP(C28,SQL!D27:D152,SQL!E27:E152)</f>
        <v>886189466403</v>
      </c>
      <c r="E28" t="s">
        <v>11</v>
      </c>
      <c r="F28" s="1">
        <v>0</v>
      </c>
      <c r="G28" s="1">
        <v>25000</v>
      </c>
      <c r="H28" s="1">
        <v>2172976</v>
      </c>
    </row>
    <row r="29" spans="1:8">
      <c r="A29" t="s">
        <v>8</v>
      </c>
      <c r="B29" t="s">
        <v>64</v>
      </c>
      <c r="C29" t="s">
        <v>65</v>
      </c>
      <c r="D29" s="2">
        <f>_xlfn.XLOOKUP(C29,SQL!D28:D153,SQL!E28:E153)</f>
        <v>886189830740</v>
      </c>
      <c r="E29" t="s">
        <v>11</v>
      </c>
      <c r="F29" s="1">
        <v>0</v>
      </c>
      <c r="G29" s="1">
        <v>20000</v>
      </c>
      <c r="H29" s="1">
        <v>2192976</v>
      </c>
    </row>
    <row r="30" spans="1:8">
      <c r="A30" t="s">
        <v>8</v>
      </c>
      <c r="B30" t="s">
        <v>66</v>
      </c>
      <c r="C30" t="s">
        <v>67</v>
      </c>
      <c r="D30" s="2">
        <f>_xlfn.XLOOKUP(C30,SQL!D29:D154,SQL!E29:E154)</f>
        <v>886189672277</v>
      </c>
      <c r="E30" t="s">
        <v>11</v>
      </c>
      <c r="F30" s="1">
        <v>0</v>
      </c>
      <c r="G30" s="1">
        <v>15000</v>
      </c>
      <c r="H30" s="1">
        <v>2207976</v>
      </c>
    </row>
    <row r="31" spans="1:8">
      <c r="A31" t="s">
        <v>8</v>
      </c>
      <c r="B31" t="s">
        <v>68</v>
      </c>
      <c r="C31" t="s">
        <v>69</v>
      </c>
      <c r="D31" s="2">
        <f>_xlfn.XLOOKUP(C31,SQL!D30:D155,SQL!E30:E155)</f>
        <v>886189843804</v>
      </c>
      <c r="E31" t="s">
        <v>11</v>
      </c>
      <c r="F31" s="1">
        <v>0</v>
      </c>
      <c r="G31" s="1">
        <v>15000</v>
      </c>
      <c r="H31" s="1">
        <v>2222976</v>
      </c>
    </row>
    <row r="32" spans="1:8">
      <c r="A32" t="s">
        <v>8</v>
      </c>
      <c r="B32" t="s">
        <v>70</v>
      </c>
      <c r="C32" t="s">
        <v>71</v>
      </c>
      <c r="D32" s="2">
        <f>_xlfn.XLOOKUP(C32,SQL!D31:D156,SQL!E31:E156)</f>
        <v>886189382005</v>
      </c>
      <c r="E32" t="s">
        <v>11</v>
      </c>
      <c r="F32" s="1">
        <v>0</v>
      </c>
      <c r="G32" s="1">
        <v>18000</v>
      </c>
      <c r="H32" s="1">
        <v>2240976</v>
      </c>
    </row>
    <row r="33" spans="1:8">
      <c r="A33" t="s">
        <v>8</v>
      </c>
      <c r="B33" t="s">
        <v>72</v>
      </c>
      <c r="C33" t="s">
        <v>73</v>
      </c>
      <c r="D33" s="2">
        <f>_xlfn.XLOOKUP(C33,SQL!D32:D157,SQL!E32:E157)</f>
        <v>886189797084</v>
      </c>
      <c r="E33" t="s">
        <v>11</v>
      </c>
      <c r="F33" s="1">
        <v>0</v>
      </c>
      <c r="G33" s="1">
        <v>30000</v>
      </c>
      <c r="H33" s="1">
        <v>2270976</v>
      </c>
    </row>
    <row r="34" spans="1:8">
      <c r="A34" t="s">
        <v>8</v>
      </c>
      <c r="B34" t="s">
        <v>74</v>
      </c>
      <c r="C34" t="s">
        <v>75</v>
      </c>
      <c r="D34" s="2">
        <f>_xlfn.XLOOKUP(C34,SQL!D33:D158,SQL!E33:E158)</f>
        <v>886189097864</v>
      </c>
      <c r="E34" t="s">
        <v>11</v>
      </c>
      <c r="F34" s="1">
        <v>0</v>
      </c>
      <c r="G34" s="1">
        <v>50000</v>
      </c>
      <c r="H34" s="1">
        <v>2320976</v>
      </c>
    </row>
    <row r="35" spans="1:8">
      <c r="A35" t="s">
        <v>8</v>
      </c>
      <c r="B35" t="s">
        <v>76</v>
      </c>
      <c r="C35" t="s">
        <v>77</v>
      </c>
      <c r="D35" s="2">
        <f>_xlfn.XLOOKUP(C35,SQL!D34:D159,SQL!E34:E159)</f>
        <v>886189246594</v>
      </c>
      <c r="E35" t="s">
        <v>11</v>
      </c>
      <c r="F35" s="1">
        <v>0</v>
      </c>
      <c r="G35" s="1">
        <v>500</v>
      </c>
      <c r="H35" s="1">
        <v>2321476</v>
      </c>
    </row>
    <row r="36" spans="1:8">
      <c r="A36" t="s">
        <v>8</v>
      </c>
      <c r="B36" t="s">
        <v>78</v>
      </c>
      <c r="C36" t="s">
        <v>79</v>
      </c>
      <c r="D36" s="2">
        <f>_xlfn.XLOOKUP(C36,SQL!D35:D160,SQL!E35:E160)</f>
        <v>886189703968</v>
      </c>
      <c r="E36" t="s">
        <v>11</v>
      </c>
      <c r="F36" s="1">
        <v>0</v>
      </c>
      <c r="G36" s="1">
        <v>3000</v>
      </c>
      <c r="H36" s="1">
        <v>2324476</v>
      </c>
    </row>
    <row r="37" spans="1:8">
      <c r="A37" t="s">
        <v>8</v>
      </c>
      <c r="B37" t="s">
        <v>80</v>
      </c>
      <c r="C37" t="s">
        <v>81</v>
      </c>
      <c r="D37" s="2">
        <f>_xlfn.XLOOKUP(C37,SQL!D36:D161,SQL!E36:E161)</f>
        <v>886189789764</v>
      </c>
      <c r="E37" t="s">
        <v>11</v>
      </c>
      <c r="F37" s="1">
        <v>0</v>
      </c>
      <c r="G37" s="1">
        <v>9000</v>
      </c>
      <c r="H37" s="1">
        <v>2333476</v>
      </c>
    </row>
    <row r="38" spans="1:8">
      <c r="A38" t="s">
        <v>8</v>
      </c>
      <c r="B38" t="s">
        <v>82</v>
      </c>
      <c r="C38" t="s">
        <v>83</v>
      </c>
      <c r="D38" s="2">
        <f>_xlfn.XLOOKUP(C38,SQL!D37:D162,SQL!E37:E162)</f>
        <v>886189147664</v>
      </c>
      <c r="E38" t="s">
        <v>11</v>
      </c>
      <c r="F38" s="1">
        <v>0</v>
      </c>
      <c r="G38" s="1">
        <v>6000</v>
      </c>
      <c r="H38" s="1">
        <v>2339476</v>
      </c>
    </row>
    <row r="39" spans="1:8">
      <c r="A39" t="s">
        <v>8</v>
      </c>
      <c r="B39" t="s">
        <v>84</v>
      </c>
      <c r="C39" t="s">
        <v>85</v>
      </c>
      <c r="D39" s="2">
        <f>_xlfn.XLOOKUP(C39,SQL!D38:D163,SQL!E38:E163)</f>
        <v>886189608684</v>
      </c>
      <c r="E39" t="s">
        <v>11</v>
      </c>
      <c r="F39" s="1">
        <v>0</v>
      </c>
      <c r="G39" s="1">
        <v>6000</v>
      </c>
      <c r="H39" s="1">
        <v>2345476</v>
      </c>
    </row>
    <row r="40" spans="1:8">
      <c r="A40" t="s">
        <v>8</v>
      </c>
      <c r="B40" t="s">
        <v>86</v>
      </c>
      <c r="C40" t="s">
        <v>87</v>
      </c>
      <c r="D40" s="2">
        <v>886188931458</v>
      </c>
      <c r="E40" t="s">
        <v>11</v>
      </c>
      <c r="F40" s="1">
        <v>0</v>
      </c>
      <c r="G40" s="1">
        <v>150000</v>
      </c>
      <c r="H40" s="1">
        <v>2495476</v>
      </c>
    </row>
    <row r="41" spans="1:8">
      <c r="A41" t="s">
        <v>8</v>
      </c>
      <c r="B41" t="s">
        <v>88</v>
      </c>
      <c r="C41" t="s">
        <v>89</v>
      </c>
      <c r="D41" s="2">
        <f>_xlfn.XLOOKUP(C41,SQL!D40:D165,SQL!E40:E165)</f>
        <v>886189311412</v>
      </c>
      <c r="E41" t="s">
        <v>11</v>
      </c>
      <c r="F41" s="1">
        <v>0</v>
      </c>
      <c r="G41" s="1">
        <v>20000</v>
      </c>
      <c r="H41" s="1">
        <v>2515476</v>
      </c>
    </row>
    <row r="42" spans="1:8">
      <c r="A42" t="s">
        <v>8</v>
      </c>
      <c r="B42" t="s">
        <v>90</v>
      </c>
      <c r="C42" t="s">
        <v>91</v>
      </c>
      <c r="D42" s="2">
        <f>_xlfn.XLOOKUP(C42,SQL!D41:D166,SQL!E41:E166)</f>
        <v>886189911081</v>
      </c>
      <c r="E42" t="s">
        <v>11</v>
      </c>
      <c r="F42" s="1">
        <v>0</v>
      </c>
      <c r="G42" s="1">
        <v>10000</v>
      </c>
      <c r="H42" s="1">
        <v>2525476</v>
      </c>
    </row>
    <row r="43" spans="1:8">
      <c r="A43" t="s">
        <v>8</v>
      </c>
      <c r="B43" t="s">
        <v>92</v>
      </c>
      <c r="C43" t="s">
        <v>93</v>
      </c>
      <c r="D43" s="2">
        <v>886189261368</v>
      </c>
      <c r="E43" t="s">
        <v>11</v>
      </c>
      <c r="F43" s="1">
        <v>0</v>
      </c>
      <c r="G43" s="1">
        <v>15000</v>
      </c>
      <c r="H43" s="1">
        <v>2540476</v>
      </c>
    </row>
    <row r="44" spans="1:8">
      <c r="A44" t="s">
        <v>8</v>
      </c>
      <c r="B44" t="s">
        <v>94</v>
      </c>
      <c r="C44" t="s">
        <v>95</v>
      </c>
      <c r="D44" s="2">
        <f>_xlfn.XLOOKUP(C44,SQL!D43:D168,SQL!E43:E168)</f>
        <v>886189332418</v>
      </c>
      <c r="E44" t="s">
        <v>11</v>
      </c>
      <c r="F44" s="1">
        <v>0</v>
      </c>
      <c r="G44" s="1">
        <v>10000</v>
      </c>
      <c r="H44" s="1">
        <v>2550476</v>
      </c>
    </row>
    <row r="45" spans="1:8">
      <c r="A45" t="s">
        <v>8</v>
      </c>
      <c r="B45" t="s">
        <v>96</v>
      </c>
      <c r="C45" t="s">
        <v>97</v>
      </c>
      <c r="D45" s="2">
        <f>_xlfn.XLOOKUP(C45,SQL!D44:D169,SQL!E44:E169)</f>
        <v>886189030518</v>
      </c>
      <c r="E45" t="s">
        <v>11</v>
      </c>
      <c r="F45" s="1">
        <v>0</v>
      </c>
      <c r="G45" s="1">
        <v>9000</v>
      </c>
      <c r="H45" s="1">
        <v>2559476</v>
      </c>
    </row>
    <row r="46" spans="1:8">
      <c r="A46" t="s">
        <v>8</v>
      </c>
      <c r="B46" t="s">
        <v>98</v>
      </c>
      <c r="C46" t="s">
        <v>99</v>
      </c>
      <c r="D46" s="2">
        <f>_xlfn.XLOOKUP(C46,SQL!D45:D170,SQL!E45:E170)</f>
        <v>886189838894</v>
      </c>
      <c r="E46" t="s">
        <v>11</v>
      </c>
      <c r="F46" s="1">
        <v>0</v>
      </c>
      <c r="G46" s="1">
        <v>10000</v>
      </c>
      <c r="H46" s="1">
        <v>2569476</v>
      </c>
    </row>
    <row r="47" spans="1:8">
      <c r="A47" t="s">
        <v>8</v>
      </c>
      <c r="B47" t="s">
        <v>100</v>
      </c>
      <c r="C47" t="s">
        <v>101</v>
      </c>
      <c r="D47" s="2">
        <v>886189732410</v>
      </c>
      <c r="E47" t="s">
        <v>11</v>
      </c>
      <c r="F47" s="1">
        <v>0</v>
      </c>
      <c r="G47" s="1">
        <v>20000</v>
      </c>
      <c r="H47" s="1">
        <v>2589476</v>
      </c>
    </row>
    <row r="48" spans="1:8">
      <c r="A48" t="s">
        <v>8</v>
      </c>
      <c r="B48" t="s">
        <v>102</v>
      </c>
      <c r="C48" t="s">
        <v>103</v>
      </c>
      <c r="D48" s="2">
        <f>_xlfn.XLOOKUP(C48,SQL!D47:D172,SQL!E47:E172)</f>
        <v>886189958192</v>
      </c>
      <c r="E48" t="s">
        <v>11</v>
      </c>
      <c r="F48" s="1">
        <v>0</v>
      </c>
      <c r="G48" s="1">
        <v>500</v>
      </c>
      <c r="H48" s="1">
        <v>2589976</v>
      </c>
    </row>
    <row r="49" spans="1:8">
      <c r="A49" t="s">
        <v>8</v>
      </c>
      <c r="B49" t="s">
        <v>104</v>
      </c>
      <c r="C49" t="s">
        <v>105</v>
      </c>
      <c r="D49" s="2">
        <v>886189807097</v>
      </c>
      <c r="E49" t="s">
        <v>11</v>
      </c>
      <c r="F49" s="1">
        <v>0</v>
      </c>
      <c r="G49" s="1">
        <v>30000</v>
      </c>
      <c r="H49" s="1">
        <v>2619976</v>
      </c>
    </row>
    <row r="50" spans="1:8">
      <c r="A50" t="s">
        <v>8</v>
      </c>
      <c r="B50" t="s">
        <v>106</v>
      </c>
      <c r="C50" t="s">
        <v>107</v>
      </c>
      <c r="D50" s="2">
        <v>886189137190</v>
      </c>
      <c r="E50" t="s">
        <v>11</v>
      </c>
      <c r="F50" s="1">
        <v>0</v>
      </c>
      <c r="G50" s="1">
        <v>35000</v>
      </c>
      <c r="H50" s="1">
        <v>2654976</v>
      </c>
    </row>
    <row r="51" spans="1:8">
      <c r="A51" t="s">
        <v>8</v>
      </c>
      <c r="B51" t="s">
        <v>108</v>
      </c>
      <c r="C51" t="s">
        <v>109</v>
      </c>
      <c r="D51" s="2">
        <v>886189535161</v>
      </c>
      <c r="E51" t="s">
        <v>11</v>
      </c>
      <c r="F51" s="1">
        <v>0</v>
      </c>
      <c r="G51" s="1">
        <v>12000</v>
      </c>
      <c r="H51" s="1">
        <v>2666976</v>
      </c>
    </row>
    <row r="52" spans="1:8">
      <c r="A52" t="s">
        <v>8</v>
      </c>
      <c r="B52" t="s">
        <v>110</v>
      </c>
      <c r="C52" t="s">
        <v>111</v>
      </c>
      <c r="D52" s="2">
        <f>_xlfn.XLOOKUP(C52,SQL!D51:D176,SQL!E51:E176)</f>
        <v>886189309846</v>
      </c>
      <c r="E52" t="s">
        <v>11</v>
      </c>
      <c r="F52" s="1">
        <v>0</v>
      </c>
      <c r="G52" s="1">
        <v>7000</v>
      </c>
      <c r="H52" s="1">
        <v>2673976</v>
      </c>
    </row>
    <row r="53" spans="1:8">
      <c r="A53" t="s">
        <v>8</v>
      </c>
      <c r="B53" t="s">
        <v>112</v>
      </c>
      <c r="C53" t="s">
        <v>113</v>
      </c>
      <c r="D53" s="2">
        <f>_xlfn.XLOOKUP(C53,SQL!D52:D177,SQL!E52:E177)</f>
        <v>886189812573</v>
      </c>
      <c r="E53" t="s">
        <v>11</v>
      </c>
      <c r="F53" s="1">
        <v>0</v>
      </c>
      <c r="G53" s="1">
        <v>20000</v>
      </c>
      <c r="H53" s="1">
        <v>2693976</v>
      </c>
    </row>
    <row r="54" spans="1:8">
      <c r="A54" t="s">
        <v>8</v>
      </c>
      <c r="B54" t="s">
        <v>114</v>
      </c>
      <c r="C54" t="s">
        <v>115</v>
      </c>
      <c r="D54" s="2">
        <f>_xlfn.XLOOKUP(C54,SQL!D53:D178,SQL!E53:E178)</f>
        <v>886188931706</v>
      </c>
      <c r="E54" t="s">
        <v>11</v>
      </c>
      <c r="F54" s="1">
        <v>0</v>
      </c>
      <c r="G54" s="1">
        <v>20000</v>
      </c>
      <c r="H54" s="1">
        <v>2713976</v>
      </c>
    </row>
    <row r="55" spans="1:8">
      <c r="A55" t="s">
        <v>8</v>
      </c>
      <c r="B55" t="s">
        <v>116</v>
      </c>
      <c r="C55" t="s">
        <v>117</v>
      </c>
      <c r="D55" s="2">
        <v>886189357610</v>
      </c>
      <c r="E55" t="s">
        <v>11</v>
      </c>
      <c r="F55" s="1">
        <v>0</v>
      </c>
      <c r="G55" s="1">
        <v>3000</v>
      </c>
      <c r="H55" s="1">
        <v>2716976</v>
      </c>
    </row>
    <row r="56" spans="1:8">
      <c r="A56" t="s">
        <v>8</v>
      </c>
      <c r="B56" t="s">
        <v>118</v>
      </c>
      <c r="C56" t="s">
        <v>119</v>
      </c>
      <c r="D56" s="2">
        <f>_xlfn.XLOOKUP(C56,SQL!D55:D180,SQL!E55:E180)</f>
        <v>886189420470</v>
      </c>
      <c r="E56" t="s">
        <v>11</v>
      </c>
      <c r="F56" s="1">
        <v>0</v>
      </c>
      <c r="G56" s="1">
        <v>8000</v>
      </c>
      <c r="H56" s="1">
        <v>2724976</v>
      </c>
    </row>
    <row r="57" spans="1:8">
      <c r="A57" t="s">
        <v>8</v>
      </c>
      <c r="B57" t="s">
        <v>120</v>
      </c>
      <c r="C57" t="s">
        <v>121</v>
      </c>
      <c r="D57" s="2">
        <f>_xlfn.XLOOKUP(C57,SQL!D56:D181,SQL!E56:E181)</f>
        <v>886189301951</v>
      </c>
      <c r="E57" t="s">
        <v>11</v>
      </c>
      <c r="F57" s="1">
        <v>0</v>
      </c>
      <c r="G57" s="1">
        <v>5000</v>
      </c>
      <c r="H57" s="1">
        <v>2729976</v>
      </c>
    </row>
    <row r="58" spans="1:8">
      <c r="A58" t="s">
        <v>8</v>
      </c>
      <c r="B58" t="s">
        <v>122</v>
      </c>
      <c r="C58" t="s">
        <v>123</v>
      </c>
      <c r="D58" s="2">
        <v>886189469832</v>
      </c>
      <c r="E58" t="s">
        <v>11</v>
      </c>
      <c r="F58" s="1">
        <v>0</v>
      </c>
      <c r="G58" s="1">
        <v>11000</v>
      </c>
      <c r="H58" s="1">
        <v>2740976</v>
      </c>
    </row>
    <row r="59" spans="1:8">
      <c r="A59" t="s">
        <v>8</v>
      </c>
      <c r="B59" t="s">
        <v>124</v>
      </c>
      <c r="C59" t="s">
        <v>125</v>
      </c>
      <c r="D59" s="2">
        <v>886189062657</v>
      </c>
      <c r="E59" t="s">
        <v>11</v>
      </c>
      <c r="F59" s="1">
        <v>0</v>
      </c>
      <c r="G59" s="1">
        <v>15000</v>
      </c>
      <c r="H59" s="1">
        <v>2755976</v>
      </c>
    </row>
    <row r="60" spans="1:8">
      <c r="A60" t="s">
        <v>8</v>
      </c>
      <c r="B60" t="s">
        <v>126</v>
      </c>
      <c r="C60" t="s">
        <v>127</v>
      </c>
      <c r="D60" s="2">
        <f>_xlfn.XLOOKUP(C60,SQL!D59:D184,SQL!E59:E184)</f>
        <v>886189843874</v>
      </c>
      <c r="E60" t="s">
        <v>11</v>
      </c>
      <c r="F60" s="1">
        <v>0</v>
      </c>
      <c r="G60" s="1">
        <v>500</v>
      </c>
      <c r="H60" s="1">
        <v>2756476</v>
      </c>
    </row>
    <row r="61" spans="1:8">
      <c r="A61" t="s">
        <v>8</v>
      </c>
      <c r="B61" t="s">
        <v>128</v>
      </c>
      <c r="C61" t="s">
        <v>129</v>
      </c>
      <c r="D61" s="2">
        <f>_xlfn.XLOOKUP(C61,SQL!D60:D185,SQL!E60:E185)</f>
        <v>886189063176</v>
      </c>
      <c r="E61" t="s">
        <v>11</v>
      </c>
      <c r="F61" s="1">
        <v>0</v>
      </c>
      <c r="G61" s="1">
        <v>40000</v>
      </c>
      <c r="H61" s="1">
        <v>2796476</v>
      </c>
    </row>
    <row r="62" spans="1:8">
      <c r="A62" t="s">
        <v>8</v>
      </c>
      <c r="B62" t="s">
        <v>130</v>
      </c>
      <c r="C62" t="s">
        <v>131</v>
      </c>
      <c r="D62" s="2">
        <v>886189358662</v>
      </c>
      <c r="E62" t="s">
        <v>11</v>
      </c>
      <c r="F62" s="1">
        <v>0</v>
      </c>
      <c r="G62" s="1">
        <v>20000</v>
      </c>
      <c r="H62" s="1">
        <v>2816476</v>
      </c>
    </row>
    <row r="63" spans="1:8">
      <c r="A63" t="s">
        <v>8</v>
      </c>
      <c r="B63" t="s">
        <v>132</v>
      </c>
      <c r="C63" t="s">
        <v>133</v>
      </c>
      <c r="D63" s="2">
        <f>_xlfn.XLOOKUP(C63,SQL!D62:D187,SQL!E62:E187)</f>
        <v>886189172225</v>
      </c>
      <c r="E63" t="s">
        <v>11</v>
      </c>
      <c r="F63" s="1">
        <v>0</v>
      </c>
      <c r="G63" s="1">
        <v>10000</v>
      </c>
      <c r="H63" s="1">
        <v>2826476</v>
      </c>
    </row>
    <row r="64" spans="1:8">
      <c r="A64" t="s">
        <v>8</v>
      </c>
      <c r="B64" t="s">
        <v>134</v>
      </c>
      <c r="C64" t="s">
        <v>135</v>
      </c>
      <c r="D64" s="2">
        <f>_xlfn.XLOOKUP(C64,SQL!D63:D188,SQL!E63:E188)</f>
        <v>886189728432</v>
      </c>
      <c r="E64" t="s">
        <v>11</v>
      </c>
      <c r="F64" s="1">
        <v>0</v>
      </c>
      <c r="G64" s="1">
        <v>20000</v>
      </c>
      <c r="H64" s="1">
        <v>2846476</v>
      </c>
    </row>
    <row r="65" spans="1:8">
      <c r="A65" t="s">
        <v>8</v>
      </c>
      <c r="B65" t="s">
        <v>136</v>
      </c>
      <c r="C65" t="s">
        <v>137</v>
      </c>
      <c r="D65" s="2">
        <f>_xlfn.XLOOKUP(C65,SQL!D64:D189,SQL!E64:E189)</f>
        <v>886189999806</v>
      </c>
      <c r="E65" t="s">
        <v>11</v>
      </c>
      <c r="F65" s="1">
        <v>0</v>
      </c>
      <c r="G65" s="1">
        <v>9000</v>
      </c>
      <c r="H65" s="1">
        <v>2855476</v>
      </c>
    </row>
    <row r="66" spans="1:8">
      <c r="A66" t="s">
        <v>8</v>
      </c>
      <c r="B66" t="s">
        <v>138</v>
      </c>
      <c r="C66" t="s">
        <v>139</v>
      </c>
      <c r="D66" s="2">
        <v>886189552489</v>
      </c>
      <c r="E66" t="s">
        <v>11</v>
      </c>
      <c r="F66" s="1">
        <v>0</v>
      </c>
      <c r="G66" s="1">
        <v>10000</v>
      </c>
      <c r="H66" s="1">
        <v>2865476</v>
      </c>
    </row>
    <row r="67" spans="1:8">
      <c r="A67" t="s">
        <v>8</v>
      </c>
      <c r="B67" t="s">
        <v>140</v>
      </c>
      <c r="C67" t="s">
        <v>141</v>
      </c>
      <c r="D67" s="2">
        <f>_xlfn.XLOOKUP(C67,SQL!D66:D191,SQL!E66:E191)</f>
        <v>886189443643</v>
      </c>
      <c r="E67" t="s">
        <v>11</v>
      </c>
      <c r="F67" s="1">
        <v>0</v>
      </c>
      <c r="G67" s="1">
        <v>9000</v>
      </c>
      <c r="H67" s="1">
        <v>2874476</v>
      </c>
    </row>
    <row r="68" spans="1:8">
      <c r="A68" t="s">
        <v>8</v>
      </c>
      <c r="B68" t="s">
        <v>142</v>
      </c>
      <c r="C68" t="s">
        <v>143</v>
      </c>
      <c r="D68" s="2">
        <f>_xlfn.XLOOKUP(C68,SQL!D67:D192,SQL!E67:E192)</f>
        <v>886189020547</v>
      </c>
      <c r="E68" t="s">
        <v>11</v>
      </c>
      <c r="F68" s="1">
        <v>0</v>
      </c>
      <c r="G68" s="1">
        <v>15000</v>
      </c>
      <c r="H68" s="1">
        <v>2889476</v>
      </c>
    </row>
    <row r="69" spans="1:8">
      <c r="A69" t="s">
        <v>8</v>
      </c>
      <c r="B69" t="s">
        <v>144</v>
      </c>
      <c r="C69" t="s">
        <v>145</v>
      </c>
      <c r="D69" s="2">
        <v>886189128656</v>
      </c>
      <c r="E69" t="s">
        <v>11</v>
      </c>
      <c r="F69" s="1">
        <v>0</v>
      </c>
      <c r="G69" s="1">
        <v>24000</v>
      </c>
      <c r="H69" s="1">
        <v>2913476</v>
      </c>
    </row>
    <row r="70" spans="1:8">
      <c r="A70" t="s">
        <v>8</v>
      </c>
      <c r="B70" t="s">
        <v>146</v>
      </c>
      <c r="C70" t="s">
        <v>147</v>
      </c>
      <c r="D70" s="2">
        <f>_xlfn.XLOOKUP(C70,SQL!D69:D194,SQL!E69:E194)</f>
        <v>886189673639</v>
      </c>
      <c r="E70" t="s">
        <v>11</v>
      </c>
      <c r="F70" s="1">
        <v>0</v>
      </c>
      <c r="G70" s="1">
        <v>20000</v>
      </c>
      <c r="H70" s="1">
        <v>2933476</v>
      </c>
    </row>
    <row r="71" spans="1:8">
      <c r="A71" t="s">
        <v>8</v>
      </c>
      <c r="B71" t="s">
        <v>148</v>
      </c>
      <c r="C71" t="s">
        <v>149</v>
      </c>
      <c r="D71" s="2">
        <v>886188279841</v>
      </c>
      <c r="E71" t="s">
        <v>11</v>
      </c>
      <c r="F71" s="1">
        <v>0</v>
      </c>
      <c r="G71" s="1">
        <v>15378</v>
      </c>
      <c r="H71" s="1">
        <v>2948854</v>
      </c>
    </row>
    <row r="72" spans="1:8">
      <c r="A72" t="s">
        <v>8</v>
      </c>
      <c r="B72" t="s">
        <v>150</v>
      </c>
      <c r="C72" t="s">
        <v>151</v>
      </c>
      <c r="D72" s="2">
        <f>_xlfn.XLOOKUP(C72,SQL!D71:D196,SQL!E71:E196)</f>
        <v>886189137452</v>
      </c>
      <c r="E72" t="s">
        <v>11</v>
      </c>
      <c r="F72" s="1">
        <v>0</v>
      </c>
      <c r="G72" s="1">
        <v>5000</v>
      </c>
      <c r="H72" s="1">
        <v>2953854</v>
      </c>
    </row>
    <row r="73" spans="1:8">
      <c r="A73" t="s">
        <v>8</v>
      </c>
      <c r="B73" t="s">
        <v>152</v>
      </c>
      <c r="C73" t="s">
        <v>153</v>
      </c>
      <c r="D73" s="2">
        <f>_xlfn.XLOOKUP(C73,SQL!D72:D197,SQL!E72:E197)</f>
        <v>886189113700</v>
      </c>
      <c r="E73" t="s">
        <v>11</v>
      </c>
      <c r="F73" s="1">
        <v>0</v>
      </c>
      <c r="G73" s="1">
        <v>3000</v>
      </c>
      <c r="H73" s="1">
        <v>2956854</v>
      </c>
    </row>
    <row r="74" spans="1:8">
      <c r="A74" t="s">
        <v>8</v>
      </c>
      <c r="B74" t="s">
        <v>154</v>
      </c>
      <c r="C74" t="s">
        <v>155</v>
      </c>
      <c r="D74" s="2">
        <f>_xlfn.XLOOKUP(C74,SQL!D73:D198,SQL!E73:E198)</f>
        <v>886189808677</v>
      </c>
      <c r="E74" t="s">
        <v>11</v>
      </c>
      <c r="F74" s="1">
        <v>0</v>
      </c>
      <c r="G74" s="1">
        <v>45000</v>
      </c>
      <c r="H74" s="1">
        <v>3001854</v>
      </c>
    </row>
    <row r="75" spans="1:8">
      <c r="A75" t="s">
        <v>8</v>
      </c>
      <c r="B75" t="s">
        <v>156</v>
      </c>
      <c r="C75" t="s">
        <v>157</v>
      </c>
      <c r="D75" s="2">
        <v>886189275172</v>
      </c>
      <c r="E75" t="s">
        <v>11</v>
      </c>
      <c r="F75" s="1">
        <v>0</v>
      </c>
      <c r="G75" s="1">
        <v>12000</v>
      </c>
      <c r="H75" s="1">
        <v>3013854</v>
      </c>
    </row>
    <row r="76" spans="1:8">
      <c r="A76" t="s">
        <v>8</v>
      </c>
      <c r="B76" t="s">
        <v>158</v>
      </c>
      <c r="C76" t="s">
        <v>159</v>
      </c>
      <c r="D76" s="2">
        <f>_xlfn.XLOOKUP(C76,SQL!D75:D200,SQL!E75:E200)</f>
        <v>886189749053</v>
      </c>
      <c r="E76" t="s">
        <v>11</v>
      </c>
      <c r="F76" s="1">
        <v>0</v>
      </c>
      <c r="G76" s="1">
        <v>48000</v>
      </c>
      <c r="H76" s="1">
        <v>3061854</v>
      </c>
    </row>
    <row r="77" spans="1:8">
      <c r="A77" t="s">
        <v>8</v>
      </c>
      <c r="B77" t="s">
        <v>160</v>
      </c>
      <c r="C77" t="s">
        <v>161</v>
      </c>
      <c r="D77" s="2">
        <f>_xlfn.XLOOKUP(C77,SQL!D76:D201,SQL!E76:E201)</f>
        <v>886189505794</v>
      </c>
      <c r="E77" t="s">
        <v>11</v>
      </c>
      <c r="F77" s="1">
        <v>0</v>
      </c>
      <c r="G77" s="1">
        <v>25000</v>
      </c>
      <c r="H77" s="1">
        <v>3086854</v>
      </c>
    </row>
    <row r="78" spans="1:8">
      <c r="A78" t="s">
        <v>8</v>
      </c>
      <c r="B78" t="s">
        <v>162</v>
      </c>
      <c r="C78" t="s">
        <v>163</v>
      </c>
      <c r="D78" s="2">
        <f>_xlfn.XLOOKUP(C78,SQL!D77:D202,SQL!E77:E202)</f>
        <v>876189034190</v>
      </c>
      <c r="E78" t="s">
        <v>11</v>
      </c>
      <c r="F78" s="1">
        <v>0</v>
      </c>
      <c r="G78" s="1">
        <v>45500</v>
      </c>
      <c r="H78" s="1">
        <v>3132354</v>
      </c>
    </row>
    <row r="79" spans="1:8">
      <c r="A79" t="s">
        <v>8</v>
      </c>
      <c r="B79" t="s">
        <v>164</v>
      </c>
      <c r="C79" t="s">
        <v>165</v>
      </c>
      <c r="D79" s="2">
        <v>886189190660</v>
      </c>
      <c r="E79" t="s">
        <v>11</v>
      </c>
      <c r="F79" s="1">
        <v>0</v>
      </c>
      <c r="G79" s="1">
        <v>16000</v>
      </c>
      <c r="H79" s="1">
        <v>3148354</v>
      </c>
    </row>
    <row r="80" spans="1:8">
      <c r="A80" t="s">
        <v>8</v>
      </c>
      <c r="B80" t="s">
        <v>166</v>
      </c>
      <c r="C80" t="s">
        <v>167</v>
      </c>
      <c r="D80" s="2">
        <v>886189367476</v>
      </c>
      <c r="E80" t="s">
        <v>11</v>
      </c>
      <c r="F80" s="1">
        <v>0</v>
      </c>
      <c r="G80" s="1">
        <v>12000</v>
      </c>
      <c r="H80" s="1">
        <v>3160354</v>
      </c>
    </row>
    <row r="81" spans="1:8">
      <c r="A81" t="s">
        <v>8</v>
      </c>
      <c r="B81" t="s">
        <v>168</v>
      </c>
      <c r="C81" t="s">
        <v>169</v>
      </c>
      <c r="D81" s="2">
        <f>_xlfn.XLOOKUP(C81,SQL!D80:D205,SQL!E80:E205)</f>
        <v>886189440045</v>
      </c>
      <c r="E81" t="s">
        <v>11</v>
      </c>
      <c r="F81" s="1">
        <v>0</v>
      </c>
      <c r="G81" s="1">
        <v>20000</v>
      </c>
      <c r="H81" s="1">
        <v>3180354</v>
      </c>
    </row>
    <row r="82" spans="1:8">
      <c r="A82" t="s">
        <v>8</v>
      </c>
      <c r="B82" t="s">
        <v>170</v>
      </c>
      <c r="C82" t="s">
        <v>171</v>
      </c>
      <c r="D82" s="2">
        <v>886189575887</v>
      </c>
      <c r="E82" t="s">
        <v>11</v>
      </c>
      <c r="F82" s="1">
        <v>0</v>
      </c>
      <c r="G82" s="1">
        <v>15000</v>
      </c>
      <c r="H82" s="1">
        <v>3195354</v>
      </c>
    </row>
    <row r="83" spans="1:8">
      <c r="A83" t="s">
        <v>8</v>
      </c>
      <c r="B83" t="s">
        <v>172</v>
      </c>
      <c r="C83" t="s">
        <v>173</v>
      </c>
      <c r="D83" s="2">
        <v>886189969983</v>
      </c>
      <c r="E83" t="s">
        <v>11</v>
      </c>
      <c r="F83" s="1">
        <v>0</v>
      </c>
      <c r="G83" s="1">
        <v>12000</v>
      </c>
      <c r="H83" s="1">
        <v>3207354</v>
      </c>
    </row>
    <row r="84" spans="1:8">
      <c r="A84" t="s">
        <v>8</v>
      </c>
      <c r="B84" t="s">
        <v>174</v>
      </c>
      <c r="C84" t="s">
        <v>175</v>
      </c>
      <c r="D84" s="2">
        <v>886189201268</v>
      </c>
      <c r="E84" t="s">
        <v>11</v>
      </c>
      <c r="F84" s="1">
        <v>0</v>
      </c>
      <c r="G84" s="1">
        <v>8000</v>
      </c>
      <c r="H84" s="1">
        <v>3215354</v>
      </c>
    </row>
    <row r="85" spans="1:8">
      <c r="A85" t="s">
        <v>8</v>
      </c>
      <c r="B85" t="s">
        <v>176</v>
      </c>
      <c r="C85" t="s">
        <v>177</v>
      </c>
      <c r="D85" s="2">
        <f>_xlfn.XLOOKUP(C85,SQL!D84:D209,SQL!E84:E209)</f>
        <v>886189502528</v>
      </c>
      <c r="E85" t="s">
        <v>11</v>
      </c>
      <c r="F85" s="1">
        <v>0</v>
      </c>
      <c r="G85" s="1">
        <v>24000</v>
      </c>
      <c r="H85" s="1">
        <v>1381378</v>
      </c>
    </row>
    <row r="86" spans="1:8">
      <c r="A86" t="s">
        <v>8</v>
      </c>
      <c r="B86" t="s">
        <v>178</v>
      </c>
      <c r="C86" t="s">
        <v>179</v>
      </c>
      <c r="D86" s="2">
        <v>886189369954</v>
      </c>
      <c r="E86" t="s">
        <v>11</v>
      </c>
      <c r="F86" s="1">
        <v>0</v>
      </c>
      <c r="G86" s="1">
        <v>6000</v>
      </c>
      <c r="H86" s="1">
        <v>1387378</v>
      </c>
    </row>
    <row r="87" spans="1:8">
      <c r="A87" t="s">
        <v>8</v>
      </c>
      <c r="B87" t="s">
        <v>180</v>
      </c>
      <c r="C87" t="s">
        <v>181</v>
      </c>
      <c r="D87" s="2">
        <v>886189245740</v>
      </c>
      <c r="E87" t="s">
        <v>11</v>
      </c>
      <c r="F87" s="1">
        <v>0</v>
      </c>
      <c r="G87" s="1">
        <v>35000</v>
      </c>
      <c r="H87" s="1">
        <v>1422378</v>
      </c>
    </row>
    <row r="88" spans="1:8">
      <c r="A88" t="s">
        <v>8</v>
      </c>
      <c r="B88" t="s">
        <v>182</v>
      </c>
      <c r="C88" t="s">
        <v>183</v>
      </c>
      <c r="D88" s="2">
        <v>886189236197</v>
      </c>
      <c r="E88" t="s">
        <v>11</v>
      </c>
      <c r="F88" s="1">
        <v>0</v>
      </c>
      <c r="G88" s="1">
        <v>25000</v>
      </c>
      <c r="H88" s="1">
        <v>1447378</v>
      </c>
    </row>
    <row r="89" spans="1:8">
      <c r="A89" t="s">
        <v>8</v>
      </c>
      <c r="B89" t="s">
        <v>184</v>
      </c>
      <c r="C89" t="s">
        <v>185</v>
      </c>
      <c r="D89" s="2">
        <f>_xlfn.XLOOKUP(C89,SQL!D88:D213,SQL!E88:E213)</f>
        <v>886189786170</v>
      </c>
      <c r="E89" t="s">
        <v>11</v>
      </c>
      <c r="F89" s="1">
        <v>0</v>
      </c>
      <c r="G89" s="1">
        <v>5000</v>
      </c>
      <c r="H89" s="1">
        <v>1452378</v>
      </c>
    </row>
    <row r="90" spans="1:8">
      <c r="A90" t="s">
        <v>8</v>
      </c>
      <c r="B90" t="s">
        <v>186</v>
      </c>
      <c r="C90" t="s">
        <v>187</v>
      </c>
      <c r="D90" s="2">
        <f>_xlfn.XLOOKUP(C90,SQL!D89:D214,SQL!E89:E214)</f>
        <v>886189327694</v>
      </c>
      <c r="E90" t="s">
        <v>11</v>
      </c>
      <c r="F90" s="1">
        <v>0</v>
      </c>
      <c r="G90" s="1">
        <v>500</v>
      </c>
      <c r="H90" s="1">
        <v>1452878</v>
      </c>
    </row>
    <row r="91" spans="1:8">
      <c r="A91" t="s">
        <v>8</v>
      </c>
      <c r="B91" t="s">
        <v>188</v>
      </c>
      <c r="C91" t="s">
        <v>189</v>
      </c>
      <c r="D91" s="2">
        <v>886189923459</v>
      </c>
      <c r="E91" t="s">
        <v>11</v>
      </c>
      <c r="F91" s="1">
        <v>0</v>
      </c>
      <c r="G91" s="1">
        <v>35000</v>
      </c>
      <c r="H91" s="1">
        <v>1487878</v>
      </c>
    </row>
    <row r="92" spans="1:8">
      <c r="A92" t="s">
        <v>8</v>
      </c>
      <c r="B92" t="s">
        <v>190</v>
      </c>
      <c r="C92" t="s">
        <v>191</v>
      </c>
      <c r="D92" s="2">
        <v>876189575659</v>
      </c>
      <c r="E92" t="s">
        <v>11</v>
      </c>
      <c r="F92" s="1">
        <v>0</v>
      </c>
      <c r="G92" s="1">
        <v>54940</v>
      </c>
      <c r="H92" s="1">
        <v>1542818</v>
      </c>
    </row>
    <row r="93" spans="1:8">
      <c r="A93" t="s">
        <v>8</v>
      </c>
      <c r="B93" t="s">
        <v>192</v>
      </c>
      <c r="C93" t="s">
        <v>193</v>
      </c>
      <c r="D93" s="2">
        <f>_xlfn.XLOOKUP(C93,SQL!D92:D217,SQL!E92:E217)</f>
        <v>886189530036</v>
      </c>
      <c r="E93" t="s">
        <v>11</v>
      </c>
      <c r="F93" s="1">
        <v>0</v>
      </c>
      <c r="G93" s="1">
        <v>8000</v>
      </c>
      <c r="H93" s="1">
        <v>1550818</v>
      </c>
    </row>
    <row r="94" spans="1:8">
      <c r="A94" t="s">
        <v>8</v>
      </c>
      <c r="B94" t="s">
        <v>194</v>
      </c>
      <c r="C94" t="s">
        <v>195</v>
      </c>
      <c r="D94" s="2">
        <v>886189667278</v>
      </c>
      <c r="E94" t="s">
        <v>11</v>
      </c>
      <c r="F94" s="1">
        <v>0</v>
      </c>
      <c r="G94" s="1">
        <v>12000</v>
      </c>
      <c r="H94" s="1">
        <v>1562818</v>
      </c>
    </row>
    <row r="95" spans="1:8">
      <c r="A95" t="s">
        <v>8</v>
      </c>
      <c r="B95" t="s">
        <v>196</v>
      </c>
      <c r="C95" t="s">
        <v>197</v>
      </c>
      <c r="D95" s="2">
        <v>886189227837</v>
      </c>
      <c r="E95" t="s">
        <v>11</v>
      </c>
      <c r="F95" s="1">
        <v>0</v>
      </c>
      <c r="G95" s="1">
        <v>10000</v>
      </c>
      <c r="H95" s="1">
        <v>1572818</v>
      </c>
    </row>
    <row r="96" spans="1:8">
      <c r="A96" t="s">
        <v>8</v>
      </c>
      <c r="B96" t="s">
        <v>198</v>
      </c>
      <c r="C96" t="s">
        <v>199</v>
      </c>
      <c r="D96" s="2">
        <v>886189134998</v>
      </c>
      <c r="E96" t="s">
        <v>11</v>
      </c>
      <c r="F96" s="1">
        <v>0</v>
      </c>
      <c r="G96" s="1">
        <v>8000</v>
      </c>
      <c r="H96" s="1">
        <v>1580818</v>
      </c>
    </row>
    <row r="97" spans="1:8">
      <c r="A97" t="s">
        <v>8</v>
      </c>
      <c r="B97" t="s">
        <v>200</v>
      </c>
      <c r="C97" t="s">
        <v>201</v>
      </c>
      <c r="D97" s="2">
        <v>886189591978</v>
      </c>
      <c r="E97" t="s">
        <v>11</v>
      </c>
      <c r="F97" s="1">
        <v>0</v>
      </c>
      <c r="G97" s="1">
        <v>5000</v>
      </c>
      <c r="H97" s="1">
        <v>1585818</v>
      </c>
    </row>
    <row r="98" spans="1:8">
      <c r="A98" t="s">
        <v>8</v>
      </c>
      <c r="B98" t="s">
        <v>202</v>
      </c>
      <c r="C98" t="s">
        <v>203</v>
      </c>
      <c r="D98" s="2">
        <v>886189734607</v>
      </c>
      <c r="E98" t="s">
        <v>11</v>
      </c>
      <c r="F98" s="1">
        <v>0</v>
      </c>
      <c r="G98" s="1">
        <v>9000</v>
      </c>
      <c r="H98" s="1">
        <v>1594818</v>
      </c>
    </row>
    <row r="99" spans="1:8">
      <c r="A99" t="s">
        <v>8</v>
      </c>
      <c r="B99" t="s">
        <v>204</v>
      </c>
      <c r="C99" t="s">
        <v>205</v>
      </c>
      <c r="D99" s="2">
        <v>886189561594</v>
      </c>
      <c r="E99" t="s">
        <v>11</v>
      </c>
      <c r="F99" s="1">
        <v>0</v>
      </c>
      <c r="G99" s="1">
        <v>20000</v>
      </c>
      <c r="H99" s="1">
        <v>1614818</v>
      </c>
    </row>
    <row r="100" spans="1:8">
      <c r="A100" t="s">
        <v>8</v>
      </c>
      <c r="B100" t="s">
        <v>206</v>
      </c>
      <c r="C100" t="s">
        <v>207</v>
      </c>
      <c r="D100" s="2">
        <v>886189882070</v>
      </c>
      <c r="E100" t="s">
        <v>11</v>
      </c>
      <c r="F100" s="1">
        <v>0</v>
      </c>
      <c r="G100" s="1">
        <v>15000</v>
      </c>
      <c r="H100" s="1">
        <v>1629818</v>
      </c>
    </row>
    <row r="101" spans="1:8">
      <c r="A101" t="s">
        <v>8</v>
      </c>
      <c r="B101" t="s">
        <v>208</v>
      </c>
      <c r="C101" t="s">
        <v>209</v>
      </c>
      <c r="D101" s="2">
        <v>886189953120</v>
      </c>
      <c r="E101" t="s">
        <v>11</v>
      </c>
      <c r="F101" s="1">
        <v>0</v>
      </c>
      <c r="G101" s="1">
        <v>15000</v>
      </c>
      <c r="H101" s="1">
        <v>1644818</v>
      </c>
    </row>
    <row r="102" spans="1:8">
      <c r="A102" t="s">
        <v>8</v>
      </c>
      <c r="B102" t="s">
        <v>210</v>
      </c>
      <c r="C102" t="s">
        <v>211</v>
      </c>
      <c r="D102" s="2">
        <v>886189289909</v>
      </c>
      <c r="E102" t="s">
        <v>11</v>
      </c>
      <c r="F102" s="1">
        <v>0</v>
      </c>
      <c r="G102" s="1">
        <v>35000</v>
      </c>
      <c r="H102" s="1">
        <v>1679818</v>
      </c>
    </row>
    <row r="103" spans="1:8">
      <c r="A103" t="s">
        <v>8</v>
      </c>
      <c r="B103" t="s">
        <v>212</v>
      </c>
      <c r="C103" t="s">
        <v>213</v>
      </c>
      <c r="D103" s="2">
        <v>886189554122</v>
      </c>
      <c r="E103" t="s">
        <v>11</v>
      </c>
      <c r="F103" s="1">
        <v>0</v>
      </c>
      <c r="G103" s="1">
        <v>25000</v>
      </c>
      <c r="H103" s="1">
        <v>1704818</v>
      </c>
    </row>
    <row r="104" spans="1:8">
      <c r="A104" t="s">
        <v>8</v>
      </c>
      <c r="B104" t="s">
        <v>214</v>
      </c>
      <c r="C104" t="s">
        <v>215</v>
      </c>
      <c r="D104" s="2">
        <v>886189141790</v>
      </c>
      <c r="E104" t="s">
        <v>11</v>
      </c>
      <c r="F104" s="1">
        <v>0</v>
      </c>
      <c r="G104" s="1">
        <v>1000</v>
      </c>
      <c r="H104" s="1">
        <v>1705818</v>
      </c>
    </row>
    <row r="105" spans="1:8">
      <c r="A105" t="s">
        <v>8</v>
      </c>
      <c r="B105" t="s">
        <v>216</v>
      </c>
      <c r="C105" t="s">
        <v>217</v>
      </c>
      <c r="D105" s="2">
        <v>886189166306</v>
      </c>
      <c r="E105" t="s">
        <v>11</v>
      </c>
      <c r="F105" s="1">
        <v>0</v>
      </c>
      <c r="G105" s="1">
        <v>20000</v>
      </c>
      <c r="H105" s="1">
        <v>1725818</v>
      </c>
    </row>
    <row r="106" spans="1:8">
      <c r="A106" t="s">
        <v>8</v>
      </c>
      <c r="B106" t="s">
        <v>218</v>
      </c>
      <c r="C106" t="s">
        <v>219</v>
      </c>
      <c r="D106" s="2">
        <v>886189027233</v>
      </c>
      <c r="E106" t="s">
        <v>11</v>
      </c>
      <c r="F106" s="1">
        <v>0</v>
      </c>
      <c r="G106" s="1">
        <v>20000</v>
      </c>
      <c r="H106" s="1">
        <v>1745818</v>
      </c>
    </row>
    <row r="107" spans="1:8">
      <c r="A107" t="s">
        <v>8</v>
      </c>
      <c r="B107" t="s">
        <v>220</v>
      </c>
      <c r="C107" t="s">
        <v>221</v>
      </c>
      <c r="D107" s="2">
        <v>886189400355</v>
      </c>
      <c r="E107" t="s">
        <v>11</v>
      </c>
      <c r="F107" s="1">
        <v>0</v>
      </c>
      <c r="G107" s="1">
        <v>48000</v>
      </c>
      <c r="H107" s="1">
        <v>1793818</v>
      </c>
    </row>
    <row r="108" spans="1:8">
      <c r="A108" t="s">
        <v>8</v>
      </c>
      <c r="B108" t="s">
        <v>222</v>
      </c>
      <c r="C108" t="s">
        <v>223</v>
      </c>
      <c r="D108" s="2">
        <v>886189492276</v>
      </c>
      <c r="E108" t="s">
        <v>11</v>
      </c>
      <c r="F108" s="1">
        <v>0</v>
      </c>
      <c r="G108" s="1">
        <v>5000</v>
      </c>
      <c r="H108" s="1">
        <v>1798818</v>
      </c>
    </row>
    <row r="109" spans="1:8">
      <c r="A109" t="s">
        <v>8</v>
      </c>
      <c r="B109" t="s">
        <v>224</v>
      </c>
      <c r="C109" t="s">
        <v>225</v>
      </c>
      <c r="D109" s="2">
        <v>886189384020</v>
      </c>
      <c r="E109" t="s">
        <v>11</v>
      </c>
      <c r="F109" s="1">
        <v>0</v>
      </c>
      <c r="G109" s="1">
        <v>15000</v>
      </c>
      <c r="H109" s="1">
        <v>1813818</v>
      </c>
    </row>
    <row r="110" spans="1:8">
      <c r="A110" t="s">
        <v>8</v>
      </c>
      <c r="B110" t="s">
        <v>226</v>
      </c>
      <c r="C110" t="s">
        <v>227</v>
      </c>
      <c r="D110" s="2">
        <f>_xlfn.XLOOKUP(C110,SQL!D109:D234,SQL!E109:E234)</f>
        <v>886189672453</v>
      </c>
      <c r="E110" t="s">
        <v>11</v>
      </c>
      <c r="F110" s="1">
        <v>0</v>
      </c>
      <c r="G110" s="1">
        <v>21000</v>
      </c>
      <c r="H110" s="1">
        <v>1834818</v>
      </c>
    </row>
    <row r="111" spans="1:8">
      <c r="A111" t="s">
        <v>8</v>
      </c>
      <c r="B111" t="s">
        <v>228</v>
      </c>
      <c r="C111" t="s">
        <v>229</v>
      </c>
      <c r="D111" s="2">
        <v>886189292671</v>
      </c>
      <c r="E111" t="s">
        <v>11</v>
      </c>
      <c r="F111" s="1">
        <v>0</v>
      </c>
      <c r="G111" s="1">
        <v>6000</v>
      </c>
      <c r="H111" s="1">
        <v>1840818</v>
      </c>
    </row>
    <row r="112" spans="1:8">
      <c r="A112" t="s">
        <v>8</v>
      </c>
      <c r="B112" t="s">
        <v>230</v>
      </c>
      <c r="C112" t="s">
        <v>231</v>
      </c>
      <c r="D112" s="2">
        <v>886189781932</v>
      </c>
      <c r="E112" t="s">
        <v>11</v>
      </c>
      <c r="F112" s="1">
        <v>0</v>
      </c>
      <c r="G112" s="1">
        <v>25000</v>
      </c>
      <c r="H112" s="1">
        <v>1865818</v>
      </c>
    </row>
    <row r="113" spans="1:8">
      <c r="A113" t="s">
        <v>8</v>
      </c>
      <c r="B113" t="s">
        <v>232</v>
      </c>
      <c r="C113" t="s">
        <v>233</v>
      </c>
      <c r="D113" s="2">
        <f>_xlfn.XLOOKUP(C113,SQL!D112:D237,SQL!E112:E237)</f>
        <v>886189326874</v>
      </c>
      <c r="E113" t="s">
        <v>11</v>
      </c>
      <c r="F113" s="1">
        <v>0</v>
      </c>
      <c r="G113" s="1">
        <v>6000</v>
      </c>
      <c r="H113" s="1">
        <v>1871818</v>
      </c>
    </row>
    <row r="114" spans="1:8">
      <c r="A114" t="s">
        <v>8</v>
      </c>
      <c r="B114" t="s">
        <v>234</v>
      </c>
      <c r="C114" t="s">
        <v>235</v>
      </c>
      <c r="D114" s="2">
        <v>886189397656</v>
      </c>
      <c r="E114" t="s">
        <v>11</v>
      </c>
      <c r="F114" s="1">
        <v>0</v>
      </c>
      <c r="G114" s="1">
        <v>35000</v>
      </c>
      <c r="H114" s="1">
        <v>1906818</v>
      </c>
    </row>
    <row r="115" spans="1:8">
      <c r="A115" t="s">
        <v>8</v>
      </c>
      <c r="B115" t="s">
        <v>236</v>
      </c>
      <c r="C115" t="s">
        <v>237</v>
      </c>
      <c r="D115" s="2">
        <v>886189081289</v>
      </c>
      <c r="E115" t="s">
        <v>11</v>
      </c>
      <c r="F115" s="1">
        <v>0</v>
      </c>
      <c r="G115" s="1">
        <v>15000</v>
      </c>
      <c r="H115" s="1">
        <v>1921818</v>
      </c>
    </row>
    <row r="116" spans="1:8">
      <c r="A116" t="s">
        <v>8</v>
      </c>
      <c r="B116" t="s">
        <v>238</v>
      </c>
      <c r="C116" t="s">
        <v>239</v>
      </c>
      <c r="D116" s="2">
        <v>886189841397</v>
      </c>
      <c r="E116" t="s">
        <v>11</v>
      </c>
      <c r="F116" s="1">
        <v>0</v>
      </c>
      <c r="G116" s="1">
        <v>10000</v>
      </c>
      <c r="H116" s="1">
        <v>1931818</v>
      </c>
    </row>
    <row r="117" spans="1:8">
      <c r="A117" t="s">
        <v>8</v>
      </c>
      <c r="B117" t="s">
        <v>240</v>
      </c>
      <c r="C117" t="s">
        <v>241</v>
      </c>
      <c r="D117" s="2">
        <v>886189584423</v>
      </c>
      <c r="E117" t="s">
        <v>11</v>
      </c>
      <c r="F117" s="1">
        <v>0</v>
      </c>
      <c r="G117" s="1">
        <v>20000</v>
      </c>
      <c r="H117" s="1">
        <v>1951818</v>
      </c>
    </row>
    <row r="118" spans="1:8">
      <c r="A118" t="s">
        <v>8</v>
      </c>
      <c r="B118" t="s">
        <v>242</v>
      </c>
      <c r="C118" t="s">
        <v>243</v>
      </c>
      <c r="D118" s="2">
        <v>886189210259</v>
      </c>
      <c r="E118" t="s">
        <v>11</v>
      </c>
      <c r="F118" s="1">
        <v>0</v>
      </c>
      <c r="G118" s="1">
        <v>9000</v>
      </c>
      <c r="H118" s="1">
        <v>1960818</v>
      </c>
    </row>
    <row r="119" spans="1:8" ht="15">
      <c r="A119" t="s">
        <v>8</v>
      </c>
      <c r="B119" t="s">
        <v>244</v>
      </c>
      <c r="C119" t="s">
        <v>245</v>
      </c>
      <c r="D119" s="2">
        <v>886189141790</v>
      </c>
      <c r="E119" t="s">
        <v>11</v>
      </c>
      <c r="F119" s="1">
        <v>0</v>
      </c>
      <c r="G119" s="1">
        <v>1000</v>
      </c>
      <c r="H119" s="1">
        <v>1961818</v>
      </c>
    </row>
    <row r="120" spans="1:8">
      <c r="A120" t="s">
        <v>8</v>
      </c>
      <c r="B120" t="s">
        <v>246</v>
      </c>
      <c r="C120" t="s">
        <v>247</v>
      </c>
      <c r="D120" s="2">
        <f>_xlfn.XLOOKUP(C120,SQL!D119:D244,SQL!E119:E244)</f>
        <v>886189785686</v>
      </c>
      <c r="E120" t="s">
        <v>11</v>
      </c>
      <c r="F120" s="1">
        <v>0</v>
      </c>
      <c r="G120" s="1">
        <v>15000</v>
      </c>
      <c r="H120" s="1">
        <v>1976818</v>
      </c>
    </row>
    <row r="121" spans="1:8">
      <c r="A121" t="s">
        <v>8</v>
      </c>
      <c r="B121" t="s">
        <v>248</v>
      </c>
      <c r="C121" t="s">
        <v>249</v>
      </c>
      <c r="D121" s="2">
        <v>886189558943</v>
      </c>
      <c r="E121" t="s">
        <v>11</v>
      </c>
      <c r="F121" s="1">
        <v>0</v>
      </c>
      <c r="G121" s="1">
        <v>5000</v>
      </c>
      <c r="H121" s="1">
        <v>1981818</v>
      </c>
    </row>
    <row r="122" spans="1:8">
      <c r="A122" t="s">
        <v>8</v>
      </c>
      <c r="B122" t="s">
        <v>250</v>
      </c>
      <c r="C122" t="s">
        <v>251</v>
      </c>
      <c r="D122" s="2">
        <v>886189486323</v>
      </c>
      <c r="E122" t="s">
        <v>11</v>
      </c>
      <c r="F122" s="1">
        <v>0</v>
      </c>
      <c r="G122" s="1">
        <v>20000</v>
      </c>
      <c r="H122" s="1">
        <v>2001818</v>
      </c>
    </row>
    <row r="123" spans="1:8">
      <c r="A123" t="s">
        <v>8</v>
      </c>
      <c r="B123" t="s">
        <v>252</v>
      </c>
      <c r="C123" t="s">
        <v>253</v>
      </c>
      <c r="D123" s="2">
        <v>886189032696</v>
      </c>
      <c r="E123" t="s">
        <v>11</v>
      </c>
      <c r="F123" s="1">
        <v>0</v>
      </c>
      <c r="G123" s="1">
        <v>10000</v>
      </c>
      <c r="H123" s="1">
        <v>2011818</v>
      </c>
    </row>
    <row r="124" spans="1:8">
      <c r="A124" t="s">
        <v>8</v>
      </c>
      <c r="B124" t="s">
        <v>254</v>
      </c>
      <c r="C124" t="s">
        <v>255</v>
      </c>
      <c r="D124" s="2">
        <v>886189859252</v>
      </c>
      <c r="E124" t="s">
        <v>11</v>
      </c>
      <c r="F124" s="1">
        <v>0</v>
      </c>
      <c r="G124" s="1">
        <v>12000</v>
      </c>
      <c r="H124" s="1">
        <v>2023818</v>
      </c>
    </row>
    <row r="125" spans="1:8">
      <c r="A125" t="s">
        <v>8</v>
      </c>
      <c r="B125" t="s">
        <v>256</v>
      </c>
      <c r="C125" t="s">
        <v>257</v>
      </c>
      <c r="D125" s="2">
        <v>886189803588</v>
      </c>
      <c r="E125" t="s">
        <v>11</v>
      </c>
      <c r="F125" s="1">
        <v>0</v>
      </c>
      <c r="G125" s="1">
        <v>500</v>
      </c>
      <c r="H125" s="1">
        <v>2024318</v>
      </c>
    </row>
    <row r="126" spans="1:8">
      <c r="A126" t="s">
        <v>8</v>
      </c>
      <c r="B126" t="s">
        <v>258</v>
      </c>
      <c r="C126" t="s">
        <v>259</v>
      </c>
      <c r="D126" s="2">
        <v>886189434771</v>
      </c>
      <c r="E126" t="s">
        <v>11</v>
      </c>
      <c r="F126" s="1">
        <v>0</v>
      </c>
      <c r="G126" s="1">
        <v>18000</v>
      </c>
      <c r="H126" s="1">
        <v>2042318</v>
      </c>
    </row>
    <row r="127" spans="1:8">
      <c r="A127" t="s">
        <v>8</v>
      </c>
      <c r="B127" t="s">
        <v>260</v>
      </c>
      <c r="C127" t="s">
        <v>261</v>
      </c>
      <c r="D127" s="2">
        <v>886189387300</v>
      </c>
      <c r="E127" t="s">
        <v>11</v>
      </c>
      <c r="F127" s="1">
        <v>0</v>
      </c>
      <c r="G127" s="1">
        <v>15000</v>
      </c>
      <c r="H127" s="1">
        <v>2057318</v>
      </c>
    </row>
    <row r="128" spans="1:8">
      <c r="A128" t="s">
        <v>8</v>
      </c>
      <c r="B128" t="s">
        <v>262</v>
      </c>
      <c r="C128" t="s">
        <v>263</v>
      </c>
      <c r="D128" s="2">
        <v>886189257101</v>
      </c>
      <c r="E128" t="s">
        <v>11</v>
      </c>
      <c r="F128" s="1">
        <v>0</v>
      </c>
      <c r="G128" s="1">
        <v>24000</v>
      </c>
      <c r="H128" s="1">
        <v>2081318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E126"/>
  <sheetViews>
    <sheetView topLeftCell="A52" workbookViewId="0">
      <selection activeCell="E52" sqref="E52"/>
    </sheetView>
  </sheetViews>
  <sheetFormatPr defaultRowHeight="14.45"/>
  <cols>
    <col min="4" max="4" width="14.5703125" bestFit="1" customWidth="1"/>
    <col min="5" max="5" width="12.85546875" bestFit="1" customWidth="1"/>
  </cols>
  <sheetData>
    <row r="1" spans="4:5">
      <c r="D1">
        <v>20144471688</v>
      </c>
      <c r="E1" s="2">
        <v>886188279841</v>
      </c>
    </row>
    <row r="2" spans="4:5">
      <c r="D2">
        <v>20144481192</v>
      </c>
      <c r="E2" s="2">
        <v>886189659968</v>
      </c>
    </row>
    <row r="3" spans="4:5">
      <c r="D3">
        <v>20144481210</v>
      </c>
      <c r="E3" s="2">
        <v>886189434771</v>
      </c>
    </row>
    <row r="4" spans="4:5">
      <c r="D4">
        <v>20144481227</v>
      </c>
      <c r="E4" s="2">
        <v>886189875486</v>
      </c>
    </row>
    <row r="5" spans="4:5">
      <c r="D5">
        <v>20144481228</v>
      </c>
      <c r="E5" s="2">
        <v>886189367476</v>
      </c>
    </row>
    <row r="6" spans="4:5">
      <c r="D6">
        <v>20144481232</v>
      </c>
      <c r="E6" s="2">
        <v>886189807097</v>
      </c>
    </row>
    <row r="7" spans="4:5">
      <c r="D7">
        <v>20144481241</v>
      </c>
      <c r="E7" s="2">
        <v>886189190660</v>
      </c>
    </row>
    <row r="8" spans="4:5">
      <c r="D8">
        <v>20144481242</v>
      </c>
      <c r="E8" s="2">
        <v>886189398153</v>
      </c>
    </row>
    <row r="9" spans="4:5">
      <c r="D9">
        <v>20144481245</v>
      </c>
      <c r="E9" s="2">
        <v>886189907722</v>
      </c>
    </row>
    <row r="10" spans="4:5">
      <c r="D10">
        <v>20144481251</v>
      </c>
      <c r="E10" s="2">
        <v>886189137190</v>
      </c>
    </row>
    <row r="11" spans="4:5">
      <c r="D11">
        <v>20144481252</v>
      </c>
      <c r="E11" s="2">
        <v>886189016234</v>
      </c>
    </row>
    <row r="12" spans="4:5">
      <c r="D12">
        <v>20144481254</v>
      </c>
      <c r="E12" s="2">
        <v>886189201268</v>
      </c>
    </row>
    <row r="13" spans="4:5">
      <c r="D13">
        <v>20144481256</v>
      </c>
      <c r="E13" s="2">
        <v>886189560204</v>
      </c>
    </row>
    <row r="14" spans="4:5">
      <c r="D14">
        <v>20144482323</v>
      </c>
      <c r="E14" s="2">
        <v>886189081289</v>
      </c>
    </row>
    <row r="15" spans="4:5">
      <c r="D15">
        <v>20144482632</v>
      </c>
      <c r="E15" s="2">
        <v>886189732410</v>
      </c>
    </row>
    <row r="16" spans="4:5">
      <c r="D16">
        <v>20144482948</v>
      </c>
      <c r="E16" s="2">
        <v>886189469832</v>
      </c>
    </row>
    <row r="17" spans="4:5">
      <c r="D17">
        <v>20144483066</v>
      </c>
      <c r="E17" s="2">
        <v>886189963294</v>
      </c>
    </row>
    <row r="18" spans="4:5">
      <c r="D18">
        <v>20144483504</v>
      </c>
      <c r="E18" s="2">
        <v>886189292671</v>
      </c>
    </row>
    <row r="19" spans="4:5">
      <c r="D19">
        <v>20144485450</v>
      </c>
      <c r="E19" s="2">
        <v>886189464849</v>
      </c>
    </row>
    <row r="20" spans="4:5">
      <c r="D20">
        <v>20144485529</v>
      </c>
      <c r="E20" s="2">
        <v>886189221879</v>
      </c>
    </row>
    <row r="21" spans="4:5">
      <c r="D21">
        <v>20144486806</v>
      </c>
      <c r="E21" s="2">
        <v>886189552489</v>
      </c>
    </row>
    <row r="22" spans="4:5">
      <c r="D22">
        <v>20144488481</v>
      </c>
      <c r="E22" s="2">
        <v>876189575659</v>
      </c>
    </row>
    <row r="23" spans="4:5">
      <c r="D23">
        <v>20144488904</v>
      </c>
      <c r="E23" s="2">
        <v>886189575887</v>
      </c>
    </row>
    <row r="24" spans="4:5">
      <c r="D24">
        <v>20144489185</v>
      </c>
      <c r="E24" s="2">
        <v>886189841397</v>
      </c>
    </row>
    <row r="25" spans="4:5">
      <c r="D25">
        <v>20144489211</v>
      </c>
      <c r="E25" s="2">
        <v>886189584423</v>
      </c>
    </row>
    <row r="26" spans="4:5">
      <c r="D26">
        <v>20144489608</v>
      </c>
      <c r="E26" s="2">
        <v>886189023564</v>
      </c>
    </row>
    <row r="27" spans="4:5">
      <c r="D27">
        <v>20144489616</v>
      </c>
      <c r="E27" s="2">
        <v>886189245740</v>
      </c>
    </row>
    <row r="28" spans="4:5">
      <c r="D28">
        <v>20144489687</v>
      </c>
      <c r="E28" s="2">
        <v>886189400355</v>
      </c>
    </row>
    <row r="29" spans="4:5">
      <c r="D29" t="s">
        <v>93</v>
      </c>
      <c r="E29" s="2">
        <v>886189261368</v>
      </c>
    </row>
    <row r="30" spans="4:5">
      <c r="D30" t="s">
        <v>63</v>
      </c>
      <c r="E30" s="2">
        <v>886189466403</v>
      </c>
    </row>
    <row r="31" spans="4:5">
      <c r="D31" t="s">
        <v>10</v>
      </c>
      <c r="E31" s="2">
        <v>886189871815</v>
      </c>
    </row>
    <row r="32" spans="4:5">
      <c r="D32" t="s">
        <v>157</v>
      </c>
      <c r="E32" s="2">
        <v>886189275172</v>
      </c>
    </row>
    <row r="33" spans="4:5">
      <c r="D33" t="s">
        <v>57</v>
      </c>
      <c r="E33" s="2">
        <v>886189558922</v>
      </c>
    </row>
    <row r="34" spans="4:5">
      <c r="D34" t="s">
        <v>77</v>
      </c>
      <c r="E34" s="2">
        <v>886189246594</v>
      </c>
    </row>
    <row r="35" spans="4:5">
      <c r="D35" t="s">
        <v>117</v>
      </c>
      <c r="E35" s="2">
        <v>886189357610</v>
      </c>
    </row>
    <row r="36" spans="4:5">
      <c r="D36" t="s">
        <v>179</v>
      </c>
      <c r="E36" s="2">
        <v>886189369954</v>
      </c>
    </row>
    <row r="37" spans="4:5">
      <c r="D37" t="s">
        <v>87</v>
      </c>
      <c r="E37" s="2">
        <v>886188931458</v>
      </c>
    </row>
    <row r="38" spans="4:5">
      <c r="D38" t="s">
        <v>145</v>
      </c>
      <c r="E38" s="2">
        <v>886189128656</v>
      </c>
    </row>
    <row r="39" spans="4:5">
      <c r="D39" t="s">
        <v>85</v>
      </c>
      <c r="E39" s="2">
        <v>886189608684</v>
      </c>
    </row>
    <row r="40" spans="4:5">
      <c r="D40" t="s">
        <v>205</v>
      </c>
      <c r="E40" s="2">
        <v>886189561594</v>
      </c>
    </row>
    <row r="41" spans="4:5">
      <c r="D41" t="s">
        <v>201</v>
      </c>
      <c r="E41" s="2">
        <v>886189591978</v>
      </c>
    </row>
    <row r="42" spans="4:5">
      <c r="D42" t="s">
        <v>223</v>
      </c>
      <c r="E42" s="2">
        <v>886189492276</v>
      </c>
    </row>
    <row r="43" spans="4:5">
      <c r="D43" t="s">
        <v>109</v>
      </c>
      <c r="E43" s="2">
        <v>886189535161</v>
      </c>
    </row>
    <row r="44" spans="4:5">
      <c r="D44" t="s">
        <v>73</v>
      </c>
      <c r="E44" s="2">
        <v>886189797084</v>
      </c>
    </row>
    <row r="45" spans="4:5">
      <c r="D45" t="s">
        <v>89</v>
      </c>
      <c r="E45" s="2">
        <v>886189311412</v>
      </c>
    </row>
    <row r="46" spans="4:5">
      <c r="D46" t="s">
        <v>17</v>
      </c>
      <c r="E46" s="2">
        <v>886189938482</v>
      </c>
    </row>
    <row r="47" spans="4:5">
      <c r="D47" t="s">
        <v>103</v>
      </c>
      <c r="E47" s="2">
        <v>886189958192</v>
      </c>
    </row>
    <row r="48" spans="4:5">
      <c r="D48" t="s">
        <v>207</v>
      </c>
      <c r="E48" s="2">
        <v>886189882070</v>
      </c>
    </row>
    <row r="49" spans="4:5">
      <c r="D49" t="s">
        <v>53</v>
      </c>
      <c r="E49" s="2">
        <v>886189900419</v>
      </c>
    </row>
    <row r="50" spans="4:5">
      <c r="D50" t="s">
        <v>71</v>
      </c>
      <c r="E50" s="2">
        <v>886189382005</v>
      </c>
    </row>
    <row r="51" spans="4:5">
      <c r="D51" t="s">
        <v>91</v>
      </c>
      <c r="E51" s="2">
        <v>886189911081</v>
      </c>
    </row>
    <row r="52" spans="4:5">
      <c r="D52" t="s">
        <v>243</v>
      </c>
      <c r="E52" s="2">
        <v>886189210259</v>
      </c>
    </row>
    <row r="53" spans="4:5">
      <c r="D53" t="s">
        <v>225</v>
      </c>
      <c r="E53" s="2">
        <v>886189384020</v>
      </c>
    </row>
    <row r="54" spans="4:5">
      <c r="D54" t="s">
        <v>97</v>
      </c>
      <c r="E54" s="2">
        <v>886189030518</v>
      </c>
    </row>
    <row r="55" spans="4:5">
      <c r="D55" t="s">
        <v>125</v>
      </c>
      <c r="E55" s="2">
        <v>886189062657</v>
      </c>
    </row>
    <row r="56" spans="4:5">
      <c r="D56" t="s">
        <v>131</v>
      </c>
      <c r="E56" s="2">
        <v>886189358662</v>
      </c>
    </row>
    <row r="57" spans="4:5">
      <c r="D57" t="s">
        <v>253</v>
      </c>
      <c r="E57" s="2">
        <v>886189032696</v>
      </c>
    </row>
    <row r="58" spans="4:5">
      <c r="D58" t="s">
        <v>83</v>
      </c>
      <c r="E58" s="2">
        <v>886189147664</v>
      </c>
    </row>
    <row r="59" spans="4:5">
      <c r="D59" t="s">
        <v>37</v>
      </c>
      <c r="E59" s="2">
        <v>886189698534</v>
      </c>
    </row>
    <row r="60" spans="4:5">
      <c r="D60" t="s">
        <v>257</v>
      </c>
      <c r="E60" s="2">
        <v>886189803588</v>
      </c>
    </row>
    <row r="61" spans="4:5">
      <c r="D61" t="s">
        <v>27</v>
      </c>
      <c r="E61" s="2">
        <v>886189606302</v>
      </c>
    </row>
    <row r="62" spans="4:5">
      <c r="D62" t="s">
        <v>111</v>
      </c>
      <c r="E62" s="2">
        <v>886189309846</v>
      </c>
    </row>
    <row r="63" spans="4:5">
      <c r="D63" t="s">
        <v>211</v>
      </c>
      <c r="E63" s="2">
        <v>886189289909</v>
      </c>
    </row>
    <row r="64" spans="4:5">
      <c r="D64" t="s">
        <v>215</v>
      </c>
      <c r="E64" s="2">
        <v>886189141790</v>
      </c>
    </row>
    <row r="65" spans="4:5">
      <c r="D65" t="s">
        <v>183</v>
      </c>
      <c r="E65" s="2">
        <v>886189236197</v>
      </c>
    </row>
    <row r="66" spans="4:5">
      <c r="D66" t="s">
        <v>203</v>
      </c>
      <c r="E66" s="2">
        <v>886189734607</v>
      </c>
    </row>
    <row r="67" spans="4:5">
      <c r="D67" t="s">
        <v>115</v>
      </c>
      <c r="E67" s="2">
        <v>886188931706</v>
      </c>
    </row>
    <row r="68" spans="4:5">
      <c r="D68" t="s">
        <v>133</v>
      </c>
      <c r="E68" s="2">
        <v>886189172225</v>
      </c>
    </row>
    <row r="69" spans="4:5">
      <c r="D69" t="s">
        <v>261</v>
      </c>
      <c r="E69" s="2">
        <v>886189387300</v>
      </c>
    </row>
    <row r="70" spans="4:5">
      <c r="D70" t="s">
        <v>55</v>
      </c>
      <c r="E70" s="2">
        <v>886189941357</v>
      </c>
    </row>
    <row r="71" spans="4:5">
      <c r="D71" t="s">
        <v>197</v>
      </c>
      <c r="E71" s="2">
        <v>886189227837</v>
      </c>
    </row>
    <row r="72" spans="4:5">
      <c r="D72" t="s">
        <v>75</v>
      </c>
      <c r="E72" s="2">
        <v>886189097864</v>
      </c>
    </row>
    <row r="73" spans="4:5">
      <c r="D73" t="s">
        <v>209</v>
      </c>
      <c r="E73" s="2">
        <v>886189953120</v>
      </c>
    </row>
    <row r="74" spans="4:5">
      <c r="D74" t="s">
        <v>173</v>
      </c>
      <c r="E74" s="2">
        <v>886189969983</v>
      </c>
    </row>
    <row r="75" spans="4:5">
      <c r="D75" t="s">
        <v>21</v>
      </c>
      <c r="E75" s="2">
        <v>886189488785</v>
      </c>
    </row>
    <row r="76" spans="4:5">
      <c r="D76" t="s">
        <v>231</v>
      </c>
      <c r="E76" s="2">
        <v>886189781932</v>
      </c>
    </row>
    <row r="77" spans="4:5">
      <c r="D77" t="s">
        <v>49</v>
      </c>
      <c r="E77" s="2">
        <v>886189795475</v>
      </c>
    </row>
    <row r="78" spans="4:5">
      <c r="D78" t="s">
        <v>143</v>
      </c>
      <c r="E78" s="2">
        <v>886189020547</v>
      </c>
    </row>
    <row r="79" spans="4:5">
      <c r="D79" t="s">
        <v>135</v>
      </c>
      <c r="E79" s="2">
        <v>886189728432</v>
      </c>
    </row>
    <row r="80" spans="4:5">
      <c r="D80" t="s">
        <v>195</v>
      </c>
      <c r="E80" s="2">
        <v>886189667278</v>
      </c>
    </row>
    <row r="81" spans="4:5">
      <c r="D81" t="s">
        <v>249</v>
      </c>
      <c r="E81" s="2">
        <v>886189558943</v>
      </c>
    </row>
    <row r="82" spans="4:5">
      <c r="D82" t="s">
        <v>189</v>
      </c>
      <c r="E82" s="2">
        <v>886189923459</v>
      </c>
    </row>
    <row r="83" spans="4:5">
      <c r="D83" t="s">
        <v>199</v>
      </c>
      <c r="E83" s="2">
        <v>886189134998</v>
      </c>
    </row>
    <row r="84" spans="4:5">
      <c r="D84" t="s">
        <v>121</v>
      </c>
      <c r="E84" s="2">
        <v>886189301951</v>
      </c>
    </row>
    <row r="85" spans="4:5">
      <c r="D85" t="s">
        <v>217</v>
      </c>
      <c r="E85" s="2">
        <v>886189166306</v>
      </c>
    </row>
    <row r="86" spans="4:5">
      <c r="D86" t="s">
        <v>41</v>
      </c>
      <c r="E86" s="2">
        <v>886189172474</v>
      </c>
    </row>
    <row r="87" spans="4:5">
      <c r="D87" t="s">
        <v>251</v>
      </c>
      <c r="E87" s="2">
        <v>886189486323</v>
      </c>
    </row>
    <row r="88" spans="4:5">
      <c r="D88" t="s">
        <v>99</v>
      </c>
      <c r="E88" s="2">
        <v>886189838894</v>
      </c>
    </row>
    <row r="89" spans="4:5">
      <c r="D89" t="s">
        <v>129</v>
      </c>
      <c r="E89" s="2">
        <v>886189063176</v>
      </c>
    </row>
    <row r="90" spans="4:5">
      <c r="D90" t="s">
        <v>127</v>
      </c>
      <c r="E90" s="2">
        <v>886189843874</v>
      </c>
    </row>
    <row r="91" spans="4:5">
      <c r="D91" t="s">
        <v>159</v>
      </c>
      <c r="E91" s="2">
        <v>886189749053</v>
      </c>
    </row>
    <row r="92" spans="4:5">
      <c r="D92" t="s">
        <v>65</v>
      </c>
      <c r="E92" s="2">
        <v>886189830740</v>
      </c>
    </row>
    <row r="93" spans="4:5">
      <c r="D93" t="s">
        <v>153</v>
      </c>
      <c r="E93" s="2">
        <v>886189113700</v>
      </c>
    </row>
    <row r="94" spans="4:5">
      <c r="D94" t="s">
        <v>187</v>
      </c>
      <c r="E94" s="2">
        <v>886189327694</v>
      </c>
    </row>
    <row r="95" spans="4:5">
      <c r="D95" t="s">
        <v>255</v>
      </c>
      <c r="E95" s="2">
        <v>886189859252</v>
      </c>
    </row>
    <row r="96" spans="4:5">
      <c r="D96" t="s">
        <v>137</v>
      </c>
      <c r="E96" s="2">
        <v>886189999806</v>
      </c>
    </row>
    <row r="97" spans="4:5">
      <c r="D97" t="s">
        <v>113</v>
      </c>
      <c r="E97" s="2">
        <v>886189812573</v>
      </c>
    </row>
    <row r="98" spans="4:5">
      <c r="D98" t="s">
        <v>213</v>
      </c>
      <c r="E98" s="2">
        <v>886189554122</v>
      </c>
    </row>
    <row r="99" spans="4:5">
      <c r="D99" t="s">
        <v>185</v>
      </c>
      <c r="E99" s="2">
        <v>886189786170</v>
      </c>
    </row>
    <row r="100" spans="4:5">
      <c r="D100" t="s">
        <v>141</v>
      </c>
      <c r="E100" s="2">
        <v>886189443643</v>
      </c>
    </row>
    <row r="101" spans="4:5">
      <c r="D101" t="s">
        <v>67</v>
      </c>
      <c r="E101" s="2">
        <v>886189672277</v>
      </c>
    </row>
    <row r="102" spans="4:5">
      <c r="D102" t="s">
        <v>219</v>
      </c>
      <c r="E102" s="2">
        <v>886189027233</v>
      </c>
    </row>
    <row r="103" spans="4:5">
      <c r="D103" t="s">
        <v>25</v>
      </c>
      <c r="E103" s="2">
        <v>886189558790</v>
      </c>
    </row>
    <row r="104" spans="4:5">
      <c r="D104" t="s">
        <v>31</v>
      </c>
      <c r="E104" s="2">
        <v>886189111372</v>
      </c>
    </row>
    <row r="105" spans="4:5">
      <c r="D105" t="s">
        <v>161</v>
      </c>
      <c r="E105" s="2">
        <v>886189505794</v>
      </c>
    </row>
    <row r="106" spans="4:5">
      <c r="D106" t="s">
        <v>19</v>
      </c>
      <c r="E106" s="2">
        <v>886189263215</v>
      </c>
    </row>
    <row r="107" spans="4:5">
      <c r="D107" t="s">
        <v>29</v>
      </c>
      <c r="E107" s="2">
        <v>886189501484</v>
      </c>
    </row>
    <row r="108" spans="4:5">
      <c r="D108" t="s">
        <v>81</v>
      </c>
      <c r="E108" s="2">
        <v>886189789764</v>
      </c>
    </row>
    <row r="109" spans="4:5">
      <c r="D109" t="s">
        <v>227</v>
      </c>
      <c r="E109" s="2">
        <v>886189672453</v>
      </c>
    </row>
    <row r="110" spans="4:5">
      <c r="D110" t="s">
        <v>69</v>
      </c>
      <c r="E110" s="2">
        <v>886189843804</v>
      </c>
    </row>
    <row r="111" spans="4:5">
      <c r="D111" t="s">
        <v>235</v>
      </c>
      <c r="E111" s="2">
        <v>886189397656</v>
      </c>
    </row>
    <row r="112" spans="4:5">
      <c r="D112" t="s">
        <v>119</v>
      </c>
      <c r="E112" s="2">
        <v>886189420470</v>
      </c>
    </row>
    <row r="113" spans="4:5">
      <c r="D113" t="s">
        <v>193</v>
      </c>
      <c r="E113" s="2">
        <v>886189530036</v>
      </c>
    </row>
    <row r="114" spans="4:5">
      <c r="D114" t="s">
        <v>177</v>
      </c>
      <c r="E114" s="2">
        <v>886189502528</v>
      </c>
    </row>
    <row r="115" spans="4:5">
      <c r="D115" t="s">
        <v>147</v>
      </c>
      <c r="E115" s="2">
        <v>886189673639</v>
      </c>
    </row>
    <row r="116" spans="4:5">
      <c r="D116" t="s">
        <v>79</v>
      </c>
      <c r="E116" s="2">
        <v>886189703968</v>
      </c>
    </row>
    <row r="117" spans="4:5">
      <c r="D117" t="s">
        <v>163</v>
      </c>
      <c r="E117" s="2">
        <v>876189034190</v>
      </c>
    </row>
    <row r="118" spans="4:5">
      <c r="D118" t="s">
        <v>23</v>
      </c>
      <c r="E118" s="2">
        <v>886189729391</v>
      </c>
    </row>
    <row r="119" spans="4:5">
      <c r="D119" t="s">
        <v>155</v>
      </c>
      <c r="E119" s="2">
        <v>886189808677</v>
      </c>
    </row>
    <row r="120" spans="4:5">
      <c r="D120" t="s">
        <v>95</v>
      </c>
      <c r="E120" s="2">
        <v>886189332418</v>
      </c>
    </row>
    <row r="121" spans="4:5">
      <c r="D121" t="s">
        <v>263</v>
      </c>
      <c r="E121" s="2">
        <v>886189257101</v>
      </c>
    </row>
    <row r="122" spans="4:5">
      <c r="D122" t="s">
        <v>247</v>
      </c>
      <c r="E122" s="2">
        <v>886189785686</v>
      </c>
    </row>
    <row r="123" spans="4:5">
      <c r="D123" t="s">
        <v>151</v>
      </c>
      <c r="E123" s="2">
        <v>886189137452</v>
      </c>
    </row>
    <row r="124" spans="4:5">
      <c r="D124" t="s">
        <v>169</v>
      </c>
      <c r="E124" s="2">
        <v>886189440045</v>
      </c>
    </row>
    <row r="125" spans="4:5">
      <c r="D125" t="s">
        <v>59</v>
      </c>
      <c r="E125" s="2">
        <v>886189297517</v>
      </c>
    </row>
    <row r="126" spans="4:5">
      <c r="D126" t="s">
        <v>233</v>
      </c>
      <c r="E126" s="2">
        <v>886189326874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2026-07-09T07:21:17Z</dcterms:created>
  <dcterms:modified xsi:type="dcterms:W3CDTF">2026-07-27T13:53:09Z</dcterms:modified>
  <cp:category/>
  <cp:contentStatus/>
</cp:coreProperties>
</file>