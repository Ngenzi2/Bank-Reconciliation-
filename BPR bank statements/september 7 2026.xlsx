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1"/>
  <workbookPr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0" documentId="13_ncr:1_{F892EF32-21EE-4DA2-9DA9-22D182E2F58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port Worksheet" sheetId="1" r:id="rId1"/>
    <sheet name="Sheet1" sheetId="3" r:id="rId2"/>
    <sheet name="SQL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6" i="1"/>
  <c r="D7" i="1"/>
  <c r="D8" i="1"/>
  <c r="D9" i="1"/>
  <c r="D12" i="1"/>
  <c r="D13" i="1"/>
  <c r="D14" i="1"/>
  <c r="D16" i="1"/>
  <c r="D18" i="1"/>
  <c r="D20" i="1"/>
  <c r="D21" i="1"/>
  <c r="D23" i="1"/>
  <c r="D25" i="1"/>
  <c r="D26" i="1"/>
  <c r="D28" i="1"/>
  <c r="D29" i="1"/>
  <c r="D32" i="1"/>
  <c r="D33" i="1"/>
  <c r="D34" i="1"/>
  <c r="D35" i="1"/>
  <c r="D36" i="1"/>
  <c r="D37" i="1"/>
  <c r="D39" i="1"/>
  <c r="D40" i="1"/>
  <c r="D41" i="1"/>
  <c r="D42" i="1"/>
  <c r="D43" i="1"/>
  <c r="D45" i="1"/>
  <c r="D48" i="1"/>
  <c r="D3" i="1"/>
</calcChain>
</file>

<file path=xl/sharedStrings.xml><?xml version="1.0" encoding="utf-8"?>
<sst xmlns="http://schemas.openxmlformats.org/spreadsheetml/2006/main" count="218" uniqueCount="146">
  <si>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</si>
  <si>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</si>
  <si>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</si>
  <si>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</si>
  <si>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</si>
  <si>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</si>
  <si>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</si>
  <si>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</si>
  <si>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2026-09-05</t>
  </si>
  <si>
    <t xml:space="preserve"> </t>
  </si>
  <si>
    <t xml:space="preserve">Opening balance </t>
  </si>
  <si>
    <t>2026-09-07</t>
  </si>
  <si>
    <t>FT26250X4Z3W</t>
  </si>
  <si>
    <t>SZABAB8XSMWV</t>
  </si>
  <si>
    <t>2026-09-07 12:11:00</t>
  </si>
  <si>
    <t>FT262501Q2WM</t>
  </si>
  <si>
    <t>SZABAB83ZQ57</t>
  </si>
  <si>
    <t>2026-09-07 14:07:00</t>
  </si>
  <si>
    <t>FT2625030K4R</t>
  </si>
  <si>
    <t>SZABAB8U9CJ0</t>
  </si>
  <si>
    <t>2026-09-07 11:15:00</t>
  </si>
  <si>
    <t>FT26250R0BWZ</t>
  </si>
  <si>
    <t>SZABAB8QWMXB</t>
  </si>
  <si>
    <t>2026-09-07 09:38:00</t>
  </si>
  <si>
    <t>FT26250X5NMC</t>
  </si>
  <si>
    <t>2026-09-07 09:15:00</t>
  </si>
  <si>
    <t>FT26250H28X4</t>
  </si>
  <si>
    <t>SZABAB8PJXLE</t>
  </si>
  <si>
    <t>2026-09-07 09:08:00</t>
  </si>
  <si>
    <t>FT262507CQ3G</t>
  </si>
  <si>
    <t>SZABAB9DN5GE</t>
  </si>
  <si>
    <t>2026-09-07 18:05:00</t>
  </si>
  <si>
    <t>FT26250Y1WBT</t>
  </si>
  <si>
    <t>SZABAB9ATUCS</t>
  </si>
  <si>
    <t>2026-09-07 17:02:00</t>
  </si>
  <si>
    <t>FT26250L2F68</t>
  </si>
  <si>
    <t>SZABAB8W8BCM</t>
  </si>
  <si>
    <t>2026-09-07 11:59:00</t>
  </si>
  <si>
    <t>FT26250MXMRN</t>
  </si>
  <si>
    <t>SZABAB8UHH3T</t>
  </si>
  <si>
    <t>2026-09-07 10:59:00</t>
  </si>
  <si>
    <t>FT26250DQC8N</t>
  </si>
  <si>
    <t>SZABAB8MGMD5</t>
  </si>
  <si>
    <t>2026-09-07 08:22:00</t>
  </si>
  <si>
    <t>FT2625075KTN</t>
  </si>
  <si>
    <t>SZABAB8PE8AL</t>
  </si>
  <si>
    <t>2026-09-07 09:06:00</t>
  </si>
  <si>
    <t>FT26250ZVJ1M</t>
  </si>
  <si>
    <t>SZABAB8R0AYL</t>
  </si>
  <si>
    <t>2026-09-07 10:09:00</t>
  </si>
  <si>
    <t>FT26250CRX58</t>
  </si>
  <si>
    <t>2026-09-07 14:32:00</t>
  </si>
  <si>
    <t>FT262507M1K1</t>
  </si>
  <si>
    <t>SZABAB8X7JFT</t>
  </si>
  <si>
    <t>2026-09-07 12:21:00</t>
  </si>
  <si>
    <t>FT262508S6KN</t>
  </si>
  <si>
    <t>SZABAB83A1SF</t>
  </si>
  <si>
    <t>2026-09-07 13:53:00</t>
  </si>
  <si>
    <t>FT26250BHLGS</t>
  </si>
  <si>
    <t>SZABAB8R399M</t>
  </si>
  <si>
    <t>2026-09-07 10:05:00</t>
  </si>
  <si>
    <t>FT26250CD9GC</t>
  </si>
  <si>
    <t>SZABAB8X4KNK</t>
  </si>
  <si>
    <t>2026-09-07 12:19:00</t>
  </si>
  <si>
    <t>FT26250KLVS6</t>
  </si>
  <si>
    <t>SZABAB8ZCHE0</t>
  </si>
  <si>
    <t>2026-09-07 12:47:00</t>
  </si>
  <si>
    <t>FT262507SVTN</t>
  </si>
  <si>
    <t>SZABAB8VQG3U</t>
  </si>
  <si>
    <t>2026-09-07 11:26:00</t>
  </si>
  <si>
    <t>FT26250TBKHJ</t>
  </si>
  <si>
    <t>2026-09-07 14:41:00</t>
  </si>
  <si>
    <t>FT2625053HGF</t>
  </si>
  <si>
    <t>SZABAB863R1P</t>
  </si>
  <si>
    <t>2026-09-07 15:26:00</t>
  </si>
  <si>
    <t>FT26250MSPS5</t>
  </si>
  <si>
    <t>SZABAB9BDXZU</t>
  </si>
  <si>
    <t>2026-09-07 17:15:00</t>
  </si>
  <si>
    <t>FT2625060KGJ</t>
  </si>
  <si>
    <t>SZABAB8VUUBX</t>
  </si>
  <si>
    <t>2026-09-07 11:28:00</t>
  </si>
  <si>
    <t>FT26250W82H9</t>
  </si>
  <si>
    <t>20145436776</t>
  </si>
  <si>
    <t>2026-09-07 14:27:00</t>
  </si>
  <si>
    <t>FT26250RZ84Q</t>
  </si>
  <si>
    <t>SZABAB9DVZLD</t>
  </si>
  <si>
    <t>2026-09-07 18:10:00</t>
  </si>
  <si>
    <t>FT262501884C</t>
  </si>
  <si>
    <t>SZABAB9FJQXA</t>
  </si>
  <si>
    <t>2026-09-07 18:47:00</t>
  </si>
  <si>
    <t>FT26250C4TCG</t>
  </si>
  <si>
    <t>SZABAB8VKUD7</t>
  </si>
  <si>
    <t>2026-09-07 11:22:00</t>
  </si>
  <si>
    <t>FT26250T2X8K</t>
  </si>
  <si>
    <t>SZABAB8246NL</t>
  </si>
  <si>
    <t>2026-09-07 13:48:00</t>
  </si>
  <si>
    <t>FT26250JVN31</t>
  </si>
  <si>
    <t>SZABAB7STYYY</t>
  </si>
  <si>
    <t>2026-09-06 21:44:00</t>
  </si>
  <si>
    <t>FT26250N83M5</t>
  </si>
  <si>
    <t>SZABAB73TQBV</t>
  </si>
  <si>
    <t>2026-09-07 01:26:00</t>
  </si>
  <si>
    <t>FT26250VYZ33</t>
  </si>
  <si>
    <t>2026-09-07 14:48:00</t>
  </si>
  <si>
    <t>FT26250W5LGR</t>
  </si>
  <si>
    <t>SZABAB8UKZXV</t>
  </si>
  <si>
    <t>2026-09-07 11:00:00</t>
  </si>
  <si>
    <t>FT26250QSSWC</t>
  </si>
  <si>
    <t>SZABAB8VMXWQ</t>
  </si>
  <si>
    <t>2026-09-07 11:24:00</t>
  </si>
  <si>
    <t>FT2625086RCW</t>
  </si>
  <si>
    <t>SZABAB8XA2GJ</t>
  </si>
  <si>
    <t>2026-09-07 12:01:00</t>
  </si>
  <si>
    <t>FT26250F53G4</t>
  </si>
  <si>
    <t>SZABAB81TAM0</t>
  </si>
  <si>
    <t>2026-09-07 13:19:00</t>
  </si>
  <si>
    <t>FT26250T9KG3</t>
  </si>
  <si>
    <t>2026-09-07 14:46:00</t>
  </si>
  <si>
    <t>FT26250HTS35</t>
  </si>
  <si>
    <t>SZABAB8P63EH</t>
  </si>
  <si>
    <t>2026-09-07 09:22:00</t>
  </si>
  <si>
    <t>FT26250YH1RY</t>
  </si>
  <si>
    <t>SZABAB826RLW</t>
  </si>
  <si>
    <t>2026-09-07 13:49:00</t>
  </si>
  <si>
    <t>FT26250NHC5B</t>
  </si>
  <si>
    <t>SZABAB9AVT09</t>
  </si>
  <si>
    <t>2026-09-07 17:03:00</t>
  </si>
  <si>
    <t>FT26250LFJP1</t>
  </si>
  <si>
    <t>SZABAB74FRK0</t>
  </si>
  <si>
    <t>2026-09-07 01:41:00</t>
  </si>
  <si>
    <t>FT2625012QB2</t>
  </si>
  <si>
    <t>SZABAB8TMAD3</t>
  </si>
  <si>
    <t>2026-09-07 10:39:00</t>
  </si>
  <si>
    <t>FT26250LGY8Y</t>
  </si>
  <si>
    <t>SZABAB7RF2PS</t>
  </si>
  <si>
    <t>2026-09-06 21:14:00</t>
  </si>
  <si>
    <t>FT26250QR90F</t>
  </si>
  <si>
    <t>SZABAB8YLS0X</t>
  </si>
  <si>
    <t>2026-09-07 12:30:00</t>
  </si>
  <si>
    <t>FT262503W8HB</t>
  </si>
  <si>
    <t>SZABAB8WDWSQ</t>
  </si>
  <si>
    <t>2026-09-07 11:41:00</t>
  </si>
  <si>
    <t>FT26250FGBW0</t>
  </si>
  <si>
    <t>SZABAB8PA5Q7</t>
  </si>
  <si>
    <t>2026-09-07 09:03:00</t>
  </si>
  <si>
    <t>select to_CHAR(business_date,'YYYY-MM-DD') as booking_date,bank_reference,description,
date_time as VALUE_DATE, money_out debit, money_in credit, closing_balance
from BNR.ACCOUNT_STATEMENT_BALANCE  ORDER BY record_id asc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</si>
</sst>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Aptos Narrow"/>
      <family val="2"/>
      <scheme val="minor"/>
    </font>
    <font>
      <sz val="11"/>
      <name val="Dialog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3" borderId="0" xfId="0" applyFill="1"/>
    <xf numFmtId="0" fontId="2" fillId="2" borderId="0" xfId="1"/>
    <xf numFmtId="0" fontId="0" fillId="3" borderId="1" xfId="0" applyFill="1" applyBorder="1"/>
    <xf numFmtId="0" fontId="1" fillId="3" borderId="1" xfId="0" applyFont="1" applyFill="1" applyBorder="1" applyAlignment="1">
      <alignment horizontal="right"/>
    </xf>
    <xf numFmtId="0" fontId="0" fillId="0" borderId="0" xfId="0" applyAlignment="1">
      <alignment horizontal="lef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8"/>
  <sheetViews>
    <sheetView tabSelected="1" workbookViewId="0">
      <pane ySplit="1" topLeftCell="A35" activePane="bottomLeft" state="frozen"/>
      <selection pane="bottomLeft" activeCell="E51" sqref="E51"/>
    </sheetView>
  </sheetViews>
  <sheetFormatPr defaultColWidth="8.7109375" defaultRowHeight="14.45"/>
  <cols>
    <col min="1" max="1" width="13.85546875" style="1" bestFit="1" customWidth="1"/>
    <col min="2" max="2" width="15.85546875" style="1" bestFit="1" customWidth="1"/>
    <col min="3" max="3" width="15.140625" style="1" bestFit="1" customWidth="1"/>
    <col min="4" max="4" width="15.140625" style="1" customWidth="1"/>
    <col min="5" max="5" width="17.7109375" style="1" bestFit="1" customWidth="1"/>
    <col min="6" max="6" width="5.5703125" style="1" bestFit="1" customWidth="1"/>
    <col min="7" max="7" width="7.42578125" style="1" bestFit="1" customWidth="1"/>
    <col min="8" max="8" width="17.140625" style="1" bestFit="1" customWidth="1"/>
    <col min="9" max="16384" width="8.7109375" style="1"/>
  </cols>
  <sheetData>
    <row r="1" spans="1:8" ht="26.4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3" t="s">
        <v>8</v>
      </c>
      <c r="B2" s="3" t="s">
        <v>9</v>
      </c>
      <c r="C2" s="3" t="s">
        <v>10</v>
      </c>
      <c r="D2" s="3"/>
      <c r="E2" s="3"/>
      <c r="F2" s="4">
        <v>0</v>
      </c>
      <c r="G2" s="4">
        <v>0</v>
      </c>
      <c r="H2" s="4">
        <v>13045543</v>
      </c>
    </row>
    <row r="3" spans="1:8">
      <c r="A3" s="3" t="s">
        <v>11</v>
      </c>
      <c r="B3" s="3" t="s">
        <v>12</v>
      </c>
      <c r="C3" s="3" t="s">
        <v>13</v>
      </c>
      <c r="D3" s="3">
        <f>_xlfn.XLOOKUP(C3,Sheet1!A:A,Sheet1!B:B)</f>
        <v>886250900102</v>
      </c>
      <c r="E3" s="3" t="s">
        <v>14</v>
      </c>
      <c r="F3" s="4">
        <v>0</v>
      </c>
      <c r="G3" s="4">
        <v>15000</v>
      </c>
      <c r="H3" s="4">
        <v>13060543</v>
      </c>
    </row>
    <row r="4" spans="1:8">
      <c r="A4" s="3" t="s">
        <v>11</v>
      </c>
      <c r="B4" s="3" t="s">
        <v>15</v>
      </c>
      <c r="C4" s="3" t="s">
        <v>16</v>
      </c>
      <c r="D4" s="3">
        <f>_xlfn.XLOOKUP(C4,Sheet1!A:A,Sheet1!B:B)</f>
        <v>886250689423</v>
      </c>
      <c r="E4" s="3" t="s">
        <v>17</v>
      </c>
      <c r="F4" s="4">
        <v>0</v>
      </c>
      <c r="G4" s="4">
        <v>21000</v>
      </c>
      <c r="H4" s="4">
        <v>13081543</v>
      </c>
    </row>
    <row r="5" spans="1:8">
      <c r="A5" s="3" t="s">
        <v>11</v>
      </c>
      <c r="B5" s="3" t="s">
        <v>18</v>
      </c>
      <c r="C5" s="3" t="s">
        <v>19</v>
      </c>
      <c r="D5" s="3">
        <f>_xlfn.XLOOKUP(C5,Sheet1!A:A,Sheet1!B:B)</f>
        <v>886250596048</v>
      </c>
      <c r="E5" s="3" t="s">
        <v>20</v>
      </c>
      <c r="F5" s="4">
        <v>0</v>
      </c>
      <c r="G5" s="4">
        <v>500</v>
      </c>
      <c r="H5" s="4">
        <v>13082043</v>
      </c>
    </row>
    <row r="6" spans="1:8">
      <c r="A6" s="3" t="s">
        <v>11</v>
      </c>
      <c r="B6" s="3" t="s">
        <v>21</v>
      </c>
      <c r="C6" s="3" t="s">
        <v>22</v>
      </c>
      <c r="D6" s="3">
        <f>_xlfn.XLOOKUP(C6,Sheet1!A:A,Sheet1!B:B)</f>
        <v>886250411465</v>
      </c>
      <c r="E6" s="3" t="s">
        <v>23</v>
      </c>
      <c r="F6" s="4">
        <v>0</v>
      </c>
      <c r="G6" s="4">
        <v>25000</v>
      </c>
      <c r="H6" s="4">
        <v>13107043</v>
      </c>
    </row>
    <row r="7" spans="1:8">
      <c r="A7" s="3" t="s">
        <v>11</v>
      </c>
      <c r="B7" s="3" t="s">
        <v>24</v>
      </c>
      <c r="C7" s="3">
        <v>20145431631</v>
      </c>
      <c r="D7" s="3">
        <f>_xlfn.XLOOKUP(C7,Sheet1!A:A,Sheet1!B:B)</f>
        <v>886250068511</v>
      </c>
      <c r="E7" s="3" t="s">
        <v>25</v>
      </c>
      <c r="F7" s="4">
        <v>0</v>
      </c>
      <c r="G7" s="4">
        <v>500</v>
      </c>
      <c r="H7" s="4">
        <v>13107543</v>
      </c>
    </row>
    <row r="8" spans="1:8">
      <c r="A8" s="3" t="s">
        <v>11</v>
      </c>
      <c r="B8" s="3" t="s">
        <v>26</v>
      </c>
      <c r="C8" s="3" t="s">
        <v>27</v>
      </c>
      <c r="D8" s="3">
        <f>_xlfn.XLOOKUP(C8,Sheet1!A:A,Sheet1!B:B)</f>
        <v>886250108534</v>
      </c>
      <c r="E8" s="3" t="s">
        <v>28</v>
      </c>
      <c r="F8" s="4">
        <v>0</v>
      </c>
      <c r="G8" s="4">
        <v>6000</v>
      </c>
      <c r="H8" s="4">
        <v>13113543</v>
      </c>
    </row>
    <row r="9" spans="1:8">
      <c r="A9" s="3" t="s">
        <v>11</v>
      </c>
      <c r="B9" s="3" t="s">
        <v>29</v>
      </c>
      <c r="C9" s="3" t="s">
        <v>30</v>
      </c>
      <c r="D9" s="3">
        <f>_xlfn.XLOOKUP(C9,Sheet1!A:A,Sheet1!B:B)</f>
        <v>886250731956</v>
      </c>
      <c r="E9" s="3" t="s">
        <v>31</v>
      </c>
      <c r="F9" s="4">
        <v>0</v>
      </c>
      <c r="G9" s="4">
        <v>48000</v>
      </c>
      <c r="H9" s="4">
        <v>13161543</v>
      </c>
    </row>
    <row r="10" spans="1:8">
      <c r="A10" s="3" t="s">
        <v>11</v>
      </c>
      <c r="B10" s="3" t="s">
        <v>32</v>
      </c>
      <c r="C10" s="3" t="s">
        <v>33</v>
      </c>
      <c r="D10" s="3"/>
      <c r="E10" s="3" t="s">
        <v>34</v>
      </c>
      <c r="F10" s="4">
        <v>0</v>
      </c>
      <c r="G10" s="4">
        <v>10000</v>
      </c>
      <c r="H10" s="4">
        <v>13171543</v>
      </c>
    </row>
    <row r="11" spans="1:8">
      <c r="A11" s="3" t="s">
        <v>11</v>
      </c>
      <c r="B11" s="3" t="s">
        <v>35</v>
      </c>
      <c r="C11" s="3" t="s">
        <v>36</v>
      </c>
      <c r="D11" s="3"/>
      <c r="E11" s="3" t="s">
        <v>37</v>
      </c>
      <c r="F11" s="4">
        <v>0</v>
      </c>
      <c r="G11" s="4">
        <v>500</v>
      </c>
      <c r="H11" s="4">
        <v>13172043</v>
      </c>
    </row>
    <row r="12" spans="1:8">
      <c r="A12" s="3" t="s">
        <v>11</v>
      </c>
      <c r="B12" s="3" t="s">
        <v>38</v>
      </c>
      <c r="C12" s="3" t="s">
        <v>39</v>
      </c>
      <c r="D12" s="3">
        <f>_xlfn.XLOOKUP(C12,Sheet1!A:A,Sheet1!B:B)</f>
        <v>886250484640</v>
      </c>
      <c r="E12" s="3" t="s">
        <v>40</v>
      </c>
      <c r="F12" s="4">
        <v>0</v>
      </c>
      <c r="G12" s="4">
        <v>1500</v>
      </c>
      <c r="H12" s="4">
        <v>13173543</v>
      </c>
    </row>
    <row r="13" spans="1:8">
      <c r="A13" s="3" t="s">
        <v>11</v>
      </c>
      <c r="B13" s="3" t="s">
        <v>41</v>
      </c>
      <c r="C13" s="3" t="s">
        <v>42</v>
      </c>
      <c r="D13" s="3">
        <f>_xlfn.XLOOKUP(C13,Sheet1!A:A,Sheet1!B:B)</f>
        <v>886250539328</v>
      </c>
      <c r="E13" s="3" t="s">
        <v>43</v>
      </c>
      <c r="F13" s="4">
        <v>0</v>
      </c>
      <c r="G13" s="4">
        <v>50000</v>
      </c>
      <c r="H13" s="4">
        <v>13223543</v>
      </c>
    </row>
    <row r="14" spans="1:8">
      <c r="A14" s="3" t="s">
        <v>11</v>
      </c>
      <c r="B14" s="3" t="s">
        <v>44</v>
      </c>
      <c r="C14" s="3" t="s">
        <v>45</v>
      </c>
      <c r="D14" s="3">
        <f>_xlfn.XLOOKUP(C14,Sheet1!A:A,Sheet1!B:B)</f>
        <v>886250012618</v>
      </c>
      <c r="E14" s="3" t="s">
        <v>46</v>
      </c>
      <c r="F14" s="4">
        <v>0</v>
      </c>
      <c r="G14" s="4">
        <v>1000</v>
      </c>
      <c r="H14" s="4">
        <v>13224543</v>
      </c>
    </row>
    <row r="15" spans="1:8">
      <c r="A15" s="3" t="s">
        <v>11</v>
      </c>
      <c r="B15" s="3" t="s">
        <v>47</v>
      </c>
      <c r="C15" s="3" t="s">
        <v>48</v>
      </c>
      <c r="D15" s="3"/>
      <c r="E15" s="3" t="s">
        <v>49</v>
      </c>
      <c r="F15" s="4">
        <v>0</v>
      </c>
      <c r="G15" s="4">
        <v>500</v>
      </c>
      <c r="H15" s="4">
        <v>13225043</v>
      </c>
    </row>
    <row r="16" spans="1:8">
      <c r="A16" s="3" t="s">
        <v>11</v>
      </c>
      <c r="B16" s="3" t="s">
        <v>50</v>
      </c>
      <c r="C16" s="3">
        <v>20145436838</v>
      </c>
      <c r="D16" s="3">
        <f>_xlfn.XLOOKUP(C16,Sheet1!A:A,Sheet1!B:B)</f>
        <v>886250961718</v>
      </c>
      <c r="E16" s="3" t="s">
        <v>51</v>
      </c>
      <c r="F16" s="4">
        <v>0</v>
      </c>
      <c r="G16" s="4">
        <v>60000</v>
      </c>
      <c r="H16" s="4">
        <v>13285043</v>
      </c>
    </row>
    <row r="17" spans="1:8">
      <c r="A17" s="3" t="s">
        <v>11</v>
      </c>
      <c r="B17" s="3" t="s">
        <v>52</v>
      </c>
      <c r="C17" s="3" t="s">
        <v>53</v>
      </c>
      <c r="D17" s="3"/>
      <c r="E17" s="3" t="s">
        <v>54</v>
      </c>
      <c r="F17" s="4">
        <v>0</v>
      </c>
      <c r="G17" s="4">
        <v>1000</v>
      </c>
      <c r="H17" s="4">
        <v>13286043</v>
      </c>
    </row>
    <row r="18" spans="1:8">
      <c r="A18" s="3" t="s">
        <v>11</v>
      </c>
      <c r="B18" s="3" t="s">
        <v>55</v>
      </c>
      <c r="C18" s="3" t="s">
        <v>56</v>
      </c>
      <c r="D18" s="3">
        <f>_xlfn.XLOOKUP(C18,Sheet1!A:A,Sheet1!B:B)</f>
        <v>886250733861</v>
      </c>
      <c r="E18" s="3" t="s">
        <v>57</v>
      </c>
      <c r="F18" s="4">
        <v>0</v>
      </c>
      <c r="G18" s="4">
        <v>50000</v>
      </c>
      <c r="H18" s="4">
        <v>13336043</v>
      </c>
    </row>
    <row r="19" spans="1:8">
      <c r="A19" s="3" t="s">
        <v>11</v>
      </c>
      <c r="B19" s="3" t="s">
        <v>58</v>
      </c>
      <c r="C19" s="3" t="s">
        <v>59</v>
      </c>
      <c r="D19" s="3"/>
      <c r="E19" s="3" t="s">
        <v>60</v>
      </c>
      <c r="F19" s="4">
        <v>0</v>
      </c>
      <c r="G19" s="4">
        <v>500</v>
      </c>
      <c r="H19" s="4">
        <v>13336543</v>
      </c>
    </row>
    <row r="20" spans="1:8">
      <c r="A20" s="3" t="s">
        <v>11</v>
      </c>
      <c r="B20" s="3" t="s">
        <v>61</v>
      </c>
      <c r="C20" s="3" t="s">
        <v>62</v>
      </c>
      <c r="D20" s="3">
        <f>_xlfn.XLOOKUP(C20,Sheet1!A:A,Sheet1!B:B)</f>
        <v>886250926257</v>
      </c>
      <c r="E20" s="3" t="s">
        <v>63</v>
      </c>
      <c r="F20" s="4">
        <v>0</v>
      </c>
      <c r="G20" s="4">
        <v>1000</v>
      </c>
      <c r="H20" s="4">
        <v>13337543</v>
      </c>
    </row>
    <row r="21" spans="1:8">
      <c r="A21" s="3" t="s">
        <v>11</v>
      </c>
      <c r="B21" s="3" t="s">
        <v>64</v>
      </c>
      <c r="C21" s="3" t="s">
        <v>65</v>
      </c>
      <c r="D21" s="3">
        <f>_xlfn.XLOOKUP(C21,Sheet1!A:A,Sheet1!B:B)</f>
        <v>886250725153</v>
      </c>
      <c r="E21" s="3" t="s">
        <v>66</v>
      </c>
      <c r="F21" s="4">
        <v>0</v>
      </c>
      <c r="G21" s="4">
        <v>18000</v>
      </c>
      <c r="H21" s="4">
        <v>13355543</v>
      </c>
    </row>
    <row r="22" spans="1:8">
      <c r="A22" s="3" t="s">
        <v>11</v>
      </c>
      <c r="B22" s="3" t="s">
        <v>67</v>
      </c>
      <c r="C22" s="3" t="s">
        <v>68</v>
      </c>
      <c r="D22" s="3"/>
      <c r="E22" s="3" t="s">
        <v>69</v>
      </c>
      <c r="F22" s="4">
        <v>0</v>
      </c>
      <c r="G22" s="4">
        <v>500</v>
      </c>
      <c r="H22" s="4">
        <v>13356043</v>
      </c>
    </row>
    <row r="23" spans="1:8">
      <c r="A23" s="3" t="s">
        <v>11</v>
      </c>
      <c r="B23" s="3" t="s">
        <v>70</v>
      </c>
      <c r="C23" s="3">
        <v>20145436968</v>
      </c>
      <c r="D23" s="3">
        <f>_xlfn.XLOOKUP(C23,Sheet1!A:A,Sheet1!B:B)</f>
        <v>876250261263</v>
      </c>
      <c r="E23" s="3" t="s">
        <v>71</v>
      </c>
      <c r="F23" s="4">
        <v>0</v>
      </c>
      <c r="G23" s="4">
        <v>71500</v>
      </c>
      <c r="H23" s="4">
        <v>13427543</v>
      </c>
    </row>
    <row r="24" spans="1:8">
      <c r="A24" s="3" t="s">
        <v>11</v>
      </c>
      <c r="B24" s="3" t="s">
        <v>72</v>
      </c>
      <c r="C24" s="3" t="s">
        <v>73</v>
      </c>
      <c r="D24" s="3"/>
      <c r="E24" s="3" t="s">
        <v>74</v>
      </c>
      <c r="F24" s="4">
        <v>0</v>
      </c>
      <c r="G24" s="4">
        <v>10000</v>
      </c>
      <c r="H24" s="4">
        <v>13437543</v>
      </c>
    </row>
    <row r="25" spans="1:8">
      <c r="A25" s="3" t="s">
        <v>11</v>
      </c>
      <c r="B25" s="3" t="s">
        <v>75</v>
      </c>
      <c r="C25" s="3" t="s">
        <v>76</v>
      </c>
      <c r="D25" s="3">
        <f>_xlfn.XLOOKUP(C25,Sheet1!A:A,Sheet1!B:B)</f>
        <v>886250541006</v>
      </c>
      <c r="E25" s="3" t="s">
        <v>77</v>
      </c>
      <c r="F25" s="4">
        <v>0</v>
      </c>
      <c r="G25" s="4">
        <v>500</v>
      </c>
      <c r="H25" s="4">
        <v>13438043</v>
      </c>
    </row>
    <row r="26" spans="1:8">
      <c r="A26" s="3" t="s">
        <v>11</v>
      </c>
      <c r="B26" s="3" t="s">
        <v>78</v>
      </c>
      <c r="C26" s="3" t="s">
        <v>79</v>
      </c>
      <c r="D26" s="3">
        <f>_xlfn.XLOOKUP(C26,Sheet1!A:A,Sheet1!B:B)</f>
        <v>886250643445</v>
      </c>
      <c r="E26" s="3" t="s">
        <v>80</v>
      </c>
      <c r="F26" s="4">
        <v>0</v>
      </c>
      <c r="G26" s="4">
        <v>500</v>
      </c>
      <c r="H26" s="4">
        <v>13438543</v>
      </c>
    </row>
    <row r="27" spans="1:8">
      <c r="A27" s="3" t="s">
        <v>11</v>
      </c>
      <c r="B27" s="3" t="s">
        <v>81</v>
      </c>
      <c r="C27" s="3" t="s">
        <v>82</v>
      </c>
      <c r="D27" s="3"/>
      <c r="E27" s="3" t="s">
        <v>83</v>
      </c>
      <c r="F27" s="4">
        <v>0</v>
      </c>
      <c r="G27" s="4">
        <v>72000</v>
      </c>
      <c r="H27" s="4">
        <v>13510543</v>
      </c>
    </row>
    <row r="28" spans="1:8">
      <c r="A28" s="3" t="s">
        <v>11</v>
      </c>
      <c r="B28" s="3" t="s">
        <v>84</v>
      </c>
      <c r="C28" s="3" t="s">
        <v>85</v>
      </c>
      <c r="D28" s="3">
        <f>_xlfn.XLOOKUP(C28,Sheet1!A:A,Sheet1!B:B)</f>
        <v>886250980340</v>
      </c>
      <c r="E28" s="3" t="s">
        <v>86</v>
      </c>
      <c r="F28" s="4">
        <v>0</v>
      </c>
      <c r="G28" s="4">
        <v>500</v>
      </c>
      <c r="H28" s="4">
        <v>13511043</v>
      </c>
    </row>
    <row r="29" spans="1:8">
      <c r="A29" s="3" t="s">
        <v>11</v>
      </c>
      <c r="B29" s="3" t="s">
        <v>87</v>
      </c>
      <c r="C29" s="3" t="s">
        <v>88</v>
      </c>
      <c r="D29" s="3">
        <f>_xlfn.XLOOKUP(C29,Sheet1!A:A,Sheet1!B:B)</f>
        <v>886250697403</v>
      </c>
      <c r="E29" s="3" t="s">
        <v>89</v>
      </c>
      <c r="F29" s="4">
        <v>0</v>
      </c>
      <c r="G29" s="4">
        <v>10000</v>
      </c>
      <c r="H29" s="4">
        <v>13521043</v>
      </c>
    </row>
    <row r="30" spans="1:8">
      <c r="A30" s="3" t="s">
        <v>11</v>
      </c>
      <c r="B30" s="3" t="s">
        <v>90</v>
      </c>
      <c r="C30" s="3" t="s">
        <v>91</v>
      </c>
      <c r="D30" s="3"/>
      <c r="E30" s="3" t="s">
        <v>92</v>
      </c>
      <c r="F30" s="4">
        <v>0</v>
      </c>
      <c r="G30" s="4">
        <v>10000</v>
      </c>
      <c r="H30" s="4">
        <v>13531043</v>
      </c>
    </row>
    <row r="31" spans="1:8">
      <c r="A31" s="3" t="s">
        <v>11</v>
      </c>
      <c r="B31" s="3" t="s">
        <v>93</v>
      </c>
      <c r="C31" s="3" t="s">
        <v>94</v>
      </c>
      <c r="D31" s="3"/>
      <c r="E31" s="3" t="s">
        <v>95</v>
      </c>
      <c r="F31" s="4">
        <v>0</v>
      </c>
      <c r="G31" s="4">
        <v>21000</v>
      </c>
      <c r="H31" s="4">
        <v>13552043</v>
      </c>
    </row>
    <row r="32" spans="1:8">
      <c r="A32" s="3" t="s">
        <v>11</v>
      </c>
      <c r="B32" s="3" t="s">
        <v>96</v>
      </c>
      <c r="C32" s="3" t="s">
        <v>97</v>
      </c>
      <c r="D32" s="3">
        <f>_xlfn.XLOOKUP(C32,Sheet1!A:A,Sheet1!B:B)</f>
        <v>886249801120</v>
      </c>
      <c r="E32" s="3" t="s">
        <v>98</v>
      </c>
      <c r="F32" s="4">
        <v>0</v>
      </c>
      <c r="G32" s="4">
        <v>500</v>
      </c>
      <c r="H32" s="4">
        <v>13552543</v>
      </c>
    </row>
    <row r="33" spans="1:8">
      <c r="A33" s="3" t="s">
        <v>11</v>
      </c>
      <c r="B33" s="3" t="s">
        <v>99</v>
      </c>
      <c r="C33" s="3" t="s">
        <v>100</v>
      </c>
      <c r="D33" s="3">
        <f>_xlfn.XLOOKUP(C33,Sheet1!A:A,Sheet1!B:B)</f>
        <v>886250296760</v>
      </c>
      <c r="E33" s="3" t="s">
        <v>101</v>
      </c>
      <c r="F33" s="4">
        <v>0</v>
      </c>
      <c r="G33" s="4">
        <v>10000</v>
      </c>
      <c r="H33" s="4">
        <v>13562543</v>
      </c>
    </row>
    <row r="34" spans="1:8">
      <c r="A34" s="3" t="s">
        <v>11</v>
      </c>
      <c r="B34" s="3" t="s">
        <v>102</v>
      </c>
      <c r="C34" s="3">
        <v>20145436959</v>
      </c>
      <c r="D34" s="3">
        <f>_xlfn.XLOOKUP(C34,Sheet1!A:A,Sheet1!B:B)</f>
        <v>876250253522</v>
      </c>
      <c r="E34" s="3" t="s">
        <v>103</v>
      </c>
      <c r="F34" s="4">
        <v>0</v>
      </c>
      <c r="G34" s="4">
        <v>26000</v>
      </c>
      <c r="H34" s="4">
        <v>13588543</v>
      </c>
    </row>
    <row r="35" spans="1:8">
      <c r="A35" s="3" t="s">
        <v>11</v>
      </c>
      <c r="B35" s="3" t="s">
        <v>104</v>
      </c>
      <c r="C35" s="3" t="s">
        <v>105</v>
      </c>
      <c r="D35" s="3">
        <f>_xlfn.XLOOKUP(C35,Sheet1!A:A,Sheet1!B:B)</f>
        <v>886250485143</v>
      </c>
      <c r="E35" s="3" t="s">
        <v>106</v>
      </c>
      <c r="F35" s="4">
        <v>0</v>
      </c>
      <c r="G35" s="4">
        <v>1000</v>
      </c>
      <c r="H35" s="4">
        <v>13589543</v>
      </c>
    </row>
    <row r="36" spans="1:8">
      <c r="A36" s="3" t="s">
        <v>11</v>
      </c>
      <c r="B36" s="3" t="s">
        <v>107</v>
      </c>
      <c r="C36" s="3" t="s">
        <v>108</v>
      </c>
      <c r="D36" s="3">
        <f>_xlfn.XLOOKUP(C36,Sheet1!A:A,Sheet1!B:B)</f>
        <v>886250367971</v>
      </c>
      <c r="E36" s="3" t="s">
        <v>109</v>
      </c>
      <c r="F36" s="4">
        <v>0</v>
      </c>
      <c r="G36" s="4">
        <v>10000</v>
      </c>
      <c r="H36" s="4">
        <v>13599543</v>
      </c>
    </row>
    <row r="37" spans="1:8">
      <c r="A37" s="3" t="s">
        <v>11</v>
      </c>
      <c r="B37" s="3" t="s">
        <v>110</v>
      </c>
      <c r="C37" s="3" t="s">
        <v>111</v>
      </c>
      <c r="D37" s="3">
        <f>_xlfn.XLOOKUP(C37,Sheet1!A:A,Sheet1!B:B)</f>
        <v>886250647616</v>
      </c>
      <c r="E37" s="3" t="s">
        <v>112</v>
      </c>
      <c r="F37" s="4">
        <v>0</v>
      </c>
      <c r="G37" s="4">
        <v>500</v>
      </c>
      <c r="H37" s="4">
        <v>13600043</v>
      </c>
    </row>
    <row r="38" spans="1:8">
      <c r="A38" s="3" t="s">
        <v>11</v>
      </c>
      <c r="B38" s="3" t="s">
        <v>113</v>
      </c>
      <c r="C38" s="3" t="s">
        <v>114</v>
      </c>
      <c r="D38" s="3"/>
      <c r="E38" s="3" t="s">
        <v>115</v>
      </c>
      <c r="F38" s="4">
        <v>0</v>
      </c>
      <c r="G38" s="4">
        <v>15000</v>
      </c>
      <c r="H38" s="4">
        <v>13615043</v>
      </c>
    </row>
    <row r="39" spans="1:8">
      <c r="A39" s="3" t="s">
        <v>11</v>
      </c>
      <c r="B39" s="3" t="s">
        <v>116</v>
      </c>
      <c r="C39" s="3">
        <v>20145436733</v>
      </c>
      <c r="D39" s="3">
        <f>_xlfn.XLOOKUP(C39,Sheet1!A:A,Sheet1!B:B)</f>
        <v>876250631138</v>
      </c>
      <c r="E39" s="3" t="s">
        <v>117</v>
      </c>
      <c r="F39" s="4">
        <v>0</v>
      </c>
      <c r="G39" s="4">
        <v>101578</v>
      </c>
      <c r="H39" s="4">
        <v>13716621</v>
      </c>
    </row>
    <row r="40" spans="1:8">
      <c r="A40" s="3" t="s">
        <v>11</v>
      </c>
      <c r="B40" s="3" t="s">
        <v>118</v>
      </c>
      <c r="C40" s="3" t="s">
        <v>119</v>
      </c>
      <c r="D40" s="3">
        <f>_xlfn.XLOOKUP(C40,Sheet1!A:A,Sheet1!B:B)</f>
        <v>886250183820</v>
      </c>
      <c r="E40" s="3" t="s">
        <v>120</v>
      </c>
      <c r="F40" s="4">
        <v>0</v>
      </c>
      <c r="G40" s="4">
        <v>500</v>
      </c>
      <c r="H40" s="4">
        <v>13717121</v>
      </c>
    </row>
    <row r="41" spans="1:8">
      <c r="A41" s="3" t="s">
        <v>11</v>
      </c>
      <c r="B41" s="3" t="s">
        <v>121</v>
      </c>
      <c r="C41" s="3" t="s">
        <v>122</v>
      </c>
      <c r="D41" s="3">
        <f>_xlfn.XLOOKUP(C41,Sheet1!A:A,Sheet1!B:B)</f>
        <v>886250141522</v>
      </c>
      <c r="E41" s="3" t="s">
        <v>123</v>
      </c>
      <c r="F41" s="4">
        <v>0</v>
      </c>
      <c r="G41" s="4">
        <v>21000</v>
      </c>
      <c r="H41" s="4">
        <v>13738121</v>
      </c>
    </row>
    <row r="42" spans="1:8">
      <c r="A42" s="3" t="s">
        <v>11</v>
      </c>
      <c r="B42" s="3" t="s">
        <v>124</v>
      </c>
      <c r="C42" s="3" t="s">
        <v>125</v>
      </c>
      <c r="D42" s="3">
        <f>_xlfn.XLOOKUP(C42,Sheet1!A:A,Sheet1!B:B)</f>
        <v>886250319144</v>
      </c>
      <c r="E42" s="3" t="s">
        <v>126</v>
      </c>
      <c r="F42" s="4">
        <v>0</v>
      </c>
      <c r="G42" s="4">
        <v>10000</v>
      </c>
      <c r="H42" s="4">
        <v>13748121</v>
      </c>
    </row>
    <row r="43" spans="1:8">
      <c r="A43" s="3" t="s">
        <v>11</v>
      </c>
      <c r="B43" s="3" t="s">
        <v>127</v>
      </c>
      <c r="C43" s="3" t="s">
        <v>128</v>
      </c>
      <c r="D43" s="3">
        <f>_xlfn.XLOOKUP(C43,Sheet1!A:A,Sheet1!B:B)</f>
        <v>886250589052</v>
      </c>
      <c r="E43" s="3" t="s">
        <v>129</v>
      </c>
      <c r="F43" s="4">
        <v>0</v>
      </c>
      <c r="G43" s="4">
        <v>5000</v>
      </c>
      <c r="H43" s="4">
        <v>13753121</v>
      </c>
    </row>
    <row r="44" spans="1:8">
      <c r="A44" s="3" t="s">
        <v>11</v>
      </c>
      <c r="B44" s="3" t="s">
        <v>130</v>
      </c>
      <c r="C44" s="3" t="s">
        <v>131</v>
      </c>
      <c r="D44" s="3"/>
      <c r="E44" s="3" t="s">
        <v>132</v>
      </c>
      <c r="F44" s="4">
        <v>0</v>
      </c>
      <c r="G44" s="4">
        <v>5000</v>
      </c>
      <c r="H44" s="4">
        <v>13758121</v>
      </c>
    </row>
    <row r="45" spans="1:8">
      <c r="A45" s="3" t="s">
        <v>11</v>
      </c>
      <c r="B45" s="3" t="s">
        <v>133</v>
      </c>
      <c r="C45" s="3" t="s">
        <v>134</v>
      </c>
      <c r="D45" s="3">
        <f>_xlfn.XLOOKUP(C45,Sheet1!A:A,Sheet1!B:B)</f>
        <v>886249003540</v>
      </c>
      <c r="E45" s="3" t="s">
        <v>135</v>
      </c>
      <c r="F45" s="4">
        <v>0</v>
      </c>
      <c r="G45" s="4">
        <v>5000</v>
      </c>
      <c r="H45" s="4">
        <v>13763121</v>
      </c>
    </row>
    <row r="46" spans="1:8">
      <c r="A46" s="3" t="s">
        <v>11</v>
      </c>
      <c r="B46" s="3" t="s">
        <v>136</v>
      </c>
      <c r="C46" s="3" t="s">
        <v>137</v>
      </c>
      <c r="D46" s="3"/>
      <c r="E46" s="3" t="s">
        <v>138</v>
      </c>
      <c r="F46" s="4">
        <v>0</v>
      </c>
      <c r="G46" s="4">
        <v>18000</v>
      </c>
      <c r="H46" s="4">
        <v>13781121</v>
      </c>
    </row>
    <row r="47" spans="1:8">
      <c r="A47" s="3" t="s">
        <v>11</v>
      </c>
      <c r="B47" s="3" t="s">
        <v>139</v>
      </c>
      <c r="C47" s="3" t="s">
        <v>140</v>
      </c>
      <c r="D47" s="3"/>
      <c r="E47" s="3" t="s">
        <v>141</v>
      </c>
      <c r="F47" s="4">
        <v>0</v>
      </c>
      <c r="G47" s="4">
        <v>500</v>
      </c>
      <c r="H47" s="4">
        <v>13781621</v>
      </c>
    </row>
    <row r="48" spans="1:8">
      <c r="A48" s="3" t="s">
        <v>11</v>
      </c>
      <c r="B48" s="3" t="s">
        <v>142</v>
      </c>
      <c r="C48" s="3" t="s">
        <v>143</v>
      </c>
      <c r="D48" s="3">
        <f>_xlfn.XLOOKUP(C48,Sheet1!A:A,Sheet1!B:B)</f>
        <v>886250417259</v>
      </c>
      <c r="E48" s="3" t="s">
        <v>144</v>
      </c>
      <c r="F48" s="4">
        <v>0</v>
      </c>
      <c r="G48" s="4">
        <v>500</v>
      </c>
      <c r="H48" s="4">
        <v>13782121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C021-5629-4C67-A541-FC7BD31237EC}">
  <dimension ref="A1:B33"/>
  <sheetViews>
    <sheetView workbookViewId="0">
      <selection activeCell="D3" sqref="D3"/>
    </sheetView>
  </sheetViews>
  <sheetFormatPr defaultRowHeight="14.45"/>
  <cols>
    <col min="1" max="1" width="18.42578125" customWidth="1"/>
  </cols>
  <sheetData>
    <row r="1" spans="1:2">
      <c r="A1" s="5">
        <v>20145431631</v>
      </c>
      <c r="B1">
        <v>886250068511</v>
      </c>
    </row>
    <row r="2" spans="1:2">
      <c r="A2" s="5">
        <v>20145436733</v>
      </c>
      <c r="B2">
        <v>876250631138</v>
      </c>
    </row>
    <row r="3" spans="1:2">
      <c r="A3" s="5">
        <v>20145436776</v>
      </c>
      <c r="B3">
        <v>876250389738</v>
      </c>
    </row>
    <row r="4" spans="1:2">
      <c r="A4" s="5">
        <v>20145436838</v>
      </c>
      <c r="B4">
        <v>886250961718</v>
      </c>
    </row>
    <row r="5" spans="1:2">
      <c r="A5" s="5">
        <v>20145436959</v>
      </c>
      <c r="B5">
        <v>876250253522</v>
      </c>
    </row>
    <row r="6" spans="1:2">
      <c r="A6" s="5">
        <v>20145436968</v>
      </c>
      <c r="B6">
        <v>876250261263</v>
      </c>
    </row>
    <row r="7" spans="1:2">
      <c r="A7" s="5" t="s">
        <v>100</v>
      </c>
      <c r="B7">
        <v>886250296760</v>
      </c>
    </row>
    <row r="8" spans="1:2">
      <c r="A8" s="5" t="s">
        <v>128</v>
      </c>
      <c r="B8">
        <v>886250589052</v>
      </c>
    </row>
    <row r="9" spans="1:2">
      <c r="A9" s="5" t="s">
        <v>134</v>
      </c>
      <c r="B9">
        <v>886249003540</v>
      </c>
    </row>
    <row r="10" spans="1:2">
      <c r="A10" s="5" t="s">
        <v>97</v>
      </c>
      <c r="B10">
        <v>886249801120</v>
      </c>
    </row>
    <row r="11" spans="1:2">
      <c r="A11" s="5" t="s">
        <v>122</v>
      </c>
      <c r="B11">
        <v>886250141522</v>
      </c>
    </row>
    <row r="12" spans="1:2">
      <c r="A12" s="5" t="s">
        <v>56</v>
      </c>
      <c r="B12">
        <v>886250733861</v>
      </c>
    </row>
    <row r="13" spans="1:2">
      <c r="A13" s="5" t="s">
        <v>16</v>
      </c>
      <c r="B13">
        <v>886250689423</v>
      </c>
    </row>
    <row r="14" spans="1:2">
      <c r="A14" s="5" t="s">
        <v>42</v>
      </c>
      <c r="B14">
        <v>886250539328</v>
      </c>
    </row>
    <row r="15" spans="1:2">
      <c r="A15" s="5" t="s">
        <v>119</v>
      </c>
      <c r="B15">
        <v>886250183820</v>
      </c>
    </row>
    <row r="16" spans="1:2">
      <c r="A16" s="5" t="s">
        <v>143</v>
      </c>
      <c r="B16">
        <v>886250417259</v>
      </c>
    </row>
    <row r="17" spans="1:2">
      <c r="A17" s="5" t="s">
        <v>45</v>
      </c>
      <c r="B17">
        <v>886250012618</v>
      </c>
    </row>
    <row r="18" spans="1:2">
      <c r="A18" s="5" t="s">
        <v>27</v>
      </c>
      <c r="B18">
        <v>886250108534</v>
      </c>
    </row>
    <row r="19" spans="1:2">
      <c r="A19" s="5" t="s">
        <v>22</v>
      </c>
      <c r="B19">
        <v>886250411465</v>
      </c>
    </row>
    <row r="20" spans="1:2">
      <c r="A20" s="5" t="s">
        <v>19</v>
      </c>
      <c r="B20">
        <v>886250596048</v>
      </c>
    </row>
    <row r="21" spans="1:2">
      <c r="A21" s="5" t="s">
        <v>39</v>
      </c>
      <c r="B21">
        <v>886250484640</v>
      </c>
    </row>
    <row r="22" spans="1:2">
      <c r="A22" s="5" t="s">
        <v>105</v>
      </c>
      <c r="B22">
        <v>886250485143</v>
      </c>
    </row>
    <row r="23" spans="1:2">
      <c r="A23" s="5" t="s">
        <v>108</v>
      </c>
      <c r="B23">
        <v>886250367971</v>
      </c>
    </row>
    <row r="24" spans="1:2">
      <c r="A24" s="5" t="s">
        <v>79</v>
      </c>
      <c r="B24">
        <v>886250643445</v>
      </c>
    </row>
    <row r="25" spans="1:2">
      <c r="A25" s="5" t="s">
        <v>62</v>
      </c>
      <c r="B25">
        <v>886250926257</v>
      </c>
    </row>
    <row r="26" spans="1:2">
      <c r="A26" s="5" t="s">
        <v>111</v>
      </c>
      <c r="B26">
        <v>886250647616</v>
      </c>
    </row>
    <row r="27" spans="1:2">
      <c r="A27" s="5" t="s">
        <v>13</v>
      </c>
      <c r="B27">
        <v>886250900102</v>
      </c>
    </row>
    <row r="28" spans="1:2">
      <c r="A28" s="5" t="s">
        <v>65</v>
      </c>
      <c r="B28">
        <v>886250725153</v>
      </c>
    </row>
    <row r="29" spans="1:2">
      <c r="A29" s="5" t="s">
        <v>125</v>
      </c>
      <c r="B29">
        <v>886250319144</v>
      </c>
    </row>
    <row r="30" spans="1:2">
      <c r="A30" s="5" t="s">
        <v>76</v>
      </c>
      <c r="B30">
        <v>886250541006</v>
      </c>
    </row>
    <row r="31" spans="1:2">
      <c r="A31" s="5" t="s">
        <v>30</v>
      </c>
      <c r="B31">
        <v>886250731956</v>
      </c>
    </row>
    <row r="32" spans="1:2">
      <c r="A32" s="5" t="s">
        <v>85</v>
      </c>
      <c r="B32">
        <v>886250980340</v>
      </c>
    </row>
    <row r="33" spans="1:2">
      <c r="A33" s="5" t="s">
        <v>88</v>
      </c>
      <c r="B33">
        <v>886250697403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4.45"/>
  <sheetData>
    <row r="2" spans="1:1">
      <c r="A2" t="s">
        <v>145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alainlandry.higiro@bpr.rw</cp:lastModifiedBy>
  <cp:revision/>
  <dcterms:created xsi:type="dcterms:W3CDTF">2026-09-08T09:08:23Z</dcterms:created>
  <dcterms:modified xsi:type="dcterms:W3CDTF">2026-09-10T09:15:41Z</dcterms:modified>
  <cp:category/>
  <cp:contentStatus/>
</cp:coreProperties>
</file>