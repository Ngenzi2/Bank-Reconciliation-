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cbbankgroup-my.sharepoint.com/personal/rwa206217_bpr_rw/Documents/Desktop/DIGITAL BANKING/IREMBO/"/>
    </mc:Choice>
  </mc:AlternateContent>
  <xr:revisionPtr revIDLastSave="43" documentId="11_0C8EE0E36C181274DF033B11024DFA61C562A832" xr6:coauthVersionLast="47" xr6:coauthVersionMax="47" xr10:uidLastSave="{C53CB54D-97D7-4B25-B959-3E7C407D88B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definedNames>
    <definedName name="_xlnm._FilterDatabase" localSheetId="0" hidden="1">'Export Worksheet'!$A$1:$H$65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34" i="1"/>
  <c r="D3" i="1"/>
  <c r="D4" i="1"/>
  <c r="D5" i="1"/>
  <c r="D6" i="1"/>
  <c r="D7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8" i="1"/>
  <c r="D29" i="1"/>
  <c r="D30" i="1"/>
  <c r="D31" i="1"/>
  <c r="D32" i="1"/>
  <c r="D33" i="1"/>
  <c r="D35" i="1"/>
  <c r="D36" i="1"/>
  <c r="D37" i="1"/>
  <c r="D38" i="1"/>
  <c r="D39" i="1"/>
  <c r="D41" i="1"/>
  <c r="D42" i="1"/>
  <c r="D43" i="1"/>
  <c r="D44" i="1"/>
  <c r="D45" i="1"/>
  <c r="D46" i="1"/>
  <c r="D47" i="1"/>
  <c r="D48" i="1"/>
  <c r="D50" i="1"/>
  <c r="D51" i="1"/>
  <c r="D52" i="1"/>
  <c r="D53" i="1"/>
  <c r="D54" i="1"/>
  <c r="D55" i="1"/>
  <c r="D56" i="1"/>
  <c r="D58" i="1"/>
  <c r="D59" i="1"/>
  <c r="D61" i="1"/>
  <c r="D62" i="1"/>
  <c r="D63" i="1"/>
  <c r="D64" i="1"/>
  <c r="D65" i="1"/>
  <c r="D2" i="1"/>
</calcChain>
</file>

<file path=xl/sharedStrings.xml><?xml version="1.0" encoding="utf-8"?>
<sst xmlns="http://schemas.openxmlformats.org/spreadsheetml/2006/main" count="323" uniqueCount="138">
  <si>
    <t>BOOKING_DATE</t>
  </si>
  <si>
    <t>BANK_REFERENCE</t>
  </si>
  <si>
    <t>DESCRIPTION</t>
  </si>
  <si>
    <t>INVOICE</t>
  </si>
  <si>
    <t>VALUE_DATE</t>
  </si>
  <si>
    <t>DEBIT</t>
  </si>
  <si>
    <t>CREDIT</t>
  </si>
  <si>
    <t>CLOSING_BALANCE</t>
  </si>
  <si>
    <t>2026-07-20</t>
  </si>
  <si>
    <t>FT26201PPMTF</t>
  </si>
  <si>
    <t>SZA00GSPVG50</t>
  </si>
  <si>
    <t>20-JUL-26</t>
  </si>
  <si>
    <t>FT262013WWQ4</t>
  </si>
  <si>
    <t>SZA00GG5KP8X</t>
  </si>
  <si>
    <t>FT26201KDC2Y</t>
  </si>
  <si>
    <t>SZ500G1QY0WV</t>
  </si>
  <si>
    <t>FT26201BSKYR</t>
  </si>
  <si>
    <t>SZM00GQR64EK</t>
  </si>
  <si>
    <t>FT26201VD1X3</t>
  </si>
  <si>
    <t>SZN00G2J208N</t>
  </si>
  <si>
    <t>FT26201YKKW9</t>
  </si>
  <si>
    <t>SZD00GVURNCX</t>
  </si>
  <si>
    <t>FT26201N634B</t>
  </si>
  <si>
    <t>SZV00GWTEM4Q</t>
  </si>
  <si>
    <t>FT26201PQ6Y4</t>
  </si>
  <si>
    <t>SZT00GNNXXPP</t>
  </si>
  <si>
    <t>FT26201LS1DV</t>
  </si>
  <si>
    <t>SZ900GNTE0EH</t>
  </si>
  <si>
    <t>FT26201Q5TSQ</t>
  </si>
  <si>
    <t>SZ100GYEG7B5</t>
  </si>
  <si>
    <t>FT26201D156B</t>
  </si>
  <si>
    <t>SZ400G9FESTX</t>
  </si>
  <si>
    <t>FT26201GSK6V</t>
  </si>
  <si>
    <t>SZN00GWPBPCW</t>
  </si>
  <si>
    <t>FT2620104VQN</t>
  </si>
  <si>
    <t>SZJ00GKLQJ39</t>
  </si>
  <si>
    <t>FT26201747YB</t>
  </si>
  <si>
    <t>SZA00GKPVH8C</t>
  </si>
  <si>
    <t>FT26201RYTP4</t>
  </si>
  <si>
    <t>SZ600GSARAAN</t>
  </si>
  <si>
    <t>FT262011SSMD</t>
  </si>
  <si>
    <t>SZ100GLYLPHJ</t>
  </si>
  <si>
    <t>FT2620177HV8</t>
  </si>
  <si>
    <t>SZJ00GRY1ECJ</t>
  </si>
  <si>
    <t>FT26201GNKF3</t>
  </si>
  <si>
    <t>SZ100GTWV2RU</t>
  </si>
  <si>
    <t>FT26201JRRVW</t>
  </si>
  <si>
    <t>SZR00GTZEWCY</t>
  </si>
  <si>
    <t>FT262016632X</t>
  </si>
  <si>
    <t>SZZ00GSTBAPR</t>
  </si>
  <si>
    <t>FT26201WNWJ5</t>
  </si>
  <si>
    <t>SZT00HCAKM3A</t>
  </si>
  <si>
    <t>FT26201Q8QMY</t>
  </si>
  <si>
    <t>SZB00G2F0J2S</t>
  </si>
  <si>
    <t>FT262017WG8M</t>
  </si>
  <si>
    <t>SZ100G1DY7HN</t>
  </si>
  <si>
    <t>FT262019N4B6</t>
  </si>
  <si>
    <t>SZJ00G8Z37LT</t>
  </si>
  <si>
    <t>FT262011FH0M</t>
  </si>
  <si>
    <t>SZS00GTUP5HA</t>
  </si>
  <si>
    <t>FT26201KXLLQ</t>
  </si>
  <si>
    <t>20144624938</t>
  </si>
  <si>
    <t>FT26201X2LD5</t>
  </si>
  <si>
    <t>SZ000G4NSTW1</t>
  </si>
  <si>
    <t>FT262015J7N4</t>
  </si>
  <si>
    <t>SZT00GFWRXEY</t>
  </si>
  <si>
    <t>FT2620199NNH</t>
  </si>
  <si>
    <t>SZK00GNVD35B</t>
  </si>
  <si>
    <t>FT262015C85K</t>
  </si>
  <si>
    <t>SZ400GF7CT9S</t>
  </si>
  <si>
    <t>FT26201KMH4X</t>
  </si>
  <si>
    <t>SZU00GGDMZ7N</t>
  </si>
  <si>
    <t>FT2620137FX3</t>
  </si>
  <si>
    <t>SZA00G837HQK</t>
  </si>
  <si>
    <t>FT26201T849Y</t>
  </si>
  <si>
    <t>SZN00GTJ4WY4</t>
  </si>
  <si>
    <t>FT26201N850Z</t>
  </si>
  <si>
    <t>SZB00GZF3BG5</t>
  </si>
  <si>
    <t>FT26201TXV5P</t>
  </si>
  <si>
    <t>SZM00GR23D3D</t>
  </si>
  <si>
    <t>FT26201FCB55</t>
  </si>
  <si>
    <t>SZ500G2WGQB7</t>
  </si>
  <si>
    <t>FT26201VWFNL</t>
  </si>
  <si>
    <t>SZR00GYQW7BD</t>
  </si>
  <si>
    <t>FT262015X1SH</t>
  </si>
  <si>
    <t>SZJ00GPTRXE8</t>
  </si>
  <si>
    <t>FT262014FYZ6</t>
  </si>
  <si>
    <t>20144616465</t>
  </si>
  <si>
    <t>FT262011JYGD</t>
  </si>
  <si>
    <t>SZ600G8X9J7R</t>
  </si>
  <si>
    <t>FT262018TL8N</t>
  </si>
  <si>
    <t>SZR00GRRWHN3</t>
  </si>
  <si>
    <t>FT2620183CN2</t>
  </si>
  <si>
    <t>SZN00GREBEVH</t>
  </si>
  <si>
    <t>FT2620179XL5</t>
  </si>
  <si>
    <t>SZD00GN0567A</t>
  </si>
  <si>
    <t>FT26201XL8D5</t>
  </si>
  <si>
    <t>SZC00GGLWNH6</t>
  </si>
  <si>
    <t>FT26201Y099G</t>
  </si>
  <si>
    <t>SZQ00GV1TF1D</t>
  </si>
  <si>
    <t>FT26201MK3YZ</t>
  </si>
  <si>
    <t>SZH00GL3ADWV</t>
  </si>
  <si>
    <t>FT26201CLKVJ</t>
  </si>
  <si>
    <t>SZJ00G2ZLMY7</t>
  </si>
  <si>
    <t>FT26201CJBZW</t>
  </si>
  <si>
    <t>20144616494</t>
  </si>
  <si>
    <t>FT26201141XT</t>
  </si>
  <si>
    <t>SZ400GREP429</t>
  </si>
  <si>
    <t>FT262015W2NB</t>
  </si>
  <si>
    <t>SZ800G41AUHG</t>
  </si>
  <si>
    <t>FT262012YVDW</t>
  </si>
  <si>
    <t>SZN00GH2LE46</t>
  </si>
  <si>
    <t>FT26201GRC60</t>
  </si>
  <si>
    <t>SZ900GLWET2J</t>
  </si>
  <si>
    <t>FT262011NCZ3</t>
  </si>
  <si>
    <t>SZD00G60LU19</t>
  </si>
  <si>
    <t>FT2620118SJY</t>
  </si>
  <si>
    <t>SZF00GWPH2JE</t>
  </si>
  <si>
    <t>FT26201QS661</t>
  </si>
  <si>
    <t>SZD00GTRFM6B</t>
  </si>
  <si>
    <t>FT26201Y49X2</t>
  </si>
  <si>
    <t>20144618197</t>
  </si>
  <si>
    <t>FT2620103V06</t>
  </si>
  <si>
    <t>SZP00GJ8XDQC</t>
  </si>
  <si>
    <t>FT262010RN3X</t>
  </si>
  <si>
    <t>SZX00G1RK72M</t>
  </si>
  <si>
    <t>FT26201Z8BR6</t>
  </si>
  <si>
    <t>20144617161</t>
  </si>
  <si>
    <t>FT26201QX8BW</t>
  </si>
  <si>
    <t>SZX00GQC87DB</t>
  </si>
  <si>
    <t>FT26201BM5WR</t>
  </si>
  <si>
    <t>SZU00GQK1KXB</t>
  </si>
  <si>
    <t>FT262013G7TX</t>
  </si>
  <si>
    <t>SZT00G115B2L</t>
  </si>
  <si>
    <t>FT26201Y3J72</t>
  </si>
  <si>
    <t>SZR00G54N2WC</t>
  </si>
  <si>
    <t>FT2620140T6D</t>
  </si>
  <si>
    <t>SZL00GKVN0UT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</si>
</sst>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"/>
  <sheetViews>
    <sheetView tabSelected="1" workbookViewId="0">
      <pane ySplit="1" topLeftCell="A7" activePane="bottomLeft" state="frozen"/>
      <selection pane="bottomLeft" sqref="A1:XFD1"/>
    </sheetView>
  </sheetViews>
  <sheetFormatPr defaultRowHeight="14.45"/>
  <cols>
    <col min="1" max="1" width="13.85546875" bestFit="1" customWidth="1"/>
    <col min="2" max="2" width="18.5703125" bestFit="1" customWidth="1"/>
    <col min="3" max="3" width="15.140625" bestFit="1" customWidth="1"/>
    <col min="4" max="4" width="15.140625" customWidth="1"/>
    <col min="5" max="5" width="11.28515625" bestFit="1" customWidth="1"/>
    <col min="6" max="6" width="8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4">
        <f>VLOOKUP(C2,SQL!$D$2:$E$65,2,FALSE)</f>
        <v>886201071824</v>
      </c>
      <c r="E2" t="s">
        <v>11</v>
      </c>
      <c r="F2" s="1">
        <v>0</v>
      </c>
      <c r="G2" s="1">
        <v>13000</v>
      </c>
      <c r="H2" s="1">
        <v>488008</v>
      </c>
    </row>
    <row r="3" spans="1:8">
      <c r="A3" t="s">
        <v>8</v>
      </c>
      <c r="B3" t="s">
        <v>12</v>
      </c>
      <c r="C3" t="s">
        <v>13</v>
      </c>
      <c r="D3" s="4">
        <f>VLOOKUP(C3,SQL!$D$2:$E$65,2,FALSE)</f>
        <v>886201548722</v>
      </c>
      <c r="E3" t="s">
        <v>11</v>
      </c>
      <c r="F3" s="1">
        <v>0</v>
      </c>
      <c r="G3" s="1">
        <v>5000</v>
      </c>
      <c r="H3" s="1">
        <v>200508</v>
      </c>
    </row>
    <row r="4" spans="1:8">
      <c r="A4" t="s">
        <v>8</v>
      </c>
      <c r="B4" t="s">
        <v>14</v>
      </c>
      <c r="C4" t="s">
        <v>15</v>
      </c>
      <c r="D4" s="4">
        <f>VLOOKUP(C4,SQL!$D$2:$E$65,2,FALSE)</f>
        <v>886201697374</v>
      </c>
      <c r="E4" t="s">
        <v>11</v>
      </c>
      <c r="F4" s="1">
        <v>0</v>
      </c>
      <c r="G4" s="1">
        <v>1200</v>
      </c>
      <c r="H4" s="1">
        <v>201708</v>
      </c>
    </row>
    <row r="5" spans="1:8">
      <c r="A5" t="s">
        <v>8</v>
      </c>
      <c r="B5" t="s">
        <v>16</v>
      </c>
      <c r="C5" t="s">
        <v>17</v>
      </c>
      <c r="D5" s="4">
        <f>VLOOKUP(C5,SQL!$D$2:$E$65,2,FALSE)</f>
        <v>886201538085</v>
      </c>
      <c r="E5" t="s">
        <v>11</v>
      </c>
      <c r="F5" s="1">
        <v>0</v>
      </c>
      <c r="G5" s="1">
        <v>10000</v>
      </c>
      <c r="H5" s="1">
        <v>211708</v>
      </c>
    </row>
    <row r="6" spans="1:8">
      <c r="A6" t="s">
        <v>8</v>
      </c>
      <c r="B6" t="s">
        <v>18</v>
      </c>
      <c r="C6" t="s">
        <v>19</v>
      </c>
      <c r="D6" s="4">
        <f>VLOOKUP(C6,SQL!$D$2:$E$65,2,FALSE)</f>
        <v>886201135631</v>
      </c>
      <c r="E6" t="s">
        <v>11</v>
      </c>
      <c r="F6" s="1">
        <v>0</v>
      </c>
      <c r="G6" s="1">
        <v>21000</v>
      </c>
      <c r="H6" s="1">
        <v>232708</v>
      </c>
    </row>
    <row r="7" spans="1:8">
      <c r="A7" t="s">
        <v>8</v>
      </c>
      <c r="B7" t="s">
        <v>20</v>
      </c>
      <c r="C7" t="s">
        <v>21</v>
      </c>
      <c r="D7" s="4">
        <f>VLOOKUP(C7,SQL!$D$2:$E$65,2,FALSE)</f>
        <v>886201257709</v>
      </c>
      <c r="E7" t="s">
        <v>11</v>
      </c>
      <c r="F7" s="1">
        <v>0</v>
      </c>
      <c r="G7" s="1">
        <v>24000</v>
      </c>
      <c r="H7" s="1">
        <v>256708</v>
      </c>
    </row>
    <row r="8" spans="1:8">
      <c r="A8" t="s">
        <v>8</v>
      </c>
      <c r="B8" t="s">
        <v>22</v>
      </c>
      <c r="C8" t="s">
        <v>23</v>
      </c>
      <c r="D8" s="4">
        <f>VLOOKUP(C8,SQL!$D$2:$E$65,2,FALSE)</f>
        <v>886201369020</v>
      </c>
      <c r="E8" t="s">
        <v>11</v>
      </c>
      <c r="F8" s="1">
        <v>0</v>
      </c>
      <c r="G8" s="1">
        <v>10000</v>
      </c>
      <c r="H8" s="1">
        <v>266708</v>
      </c>
    </row>
    <row r="9" spans="1:8">
      <c r="A9" t="s">
        <v>8</v>
      </c>
      <c r="B9" t="s">
        <v>24</v>
      </c>
      <c r="C9" t="s">
        <v>25</v>
      </c>
      <c r="D9" s="4">
        <f>VLOOKUP(C9,SQL!$D$2:$E$65,2,FALSE)</f>
        <v>886201245670</v>
      </c>
      <c r="E9" t="s">
        <v>11</v>
      </c>
      <c r="F9" s="1">
        <v>0</v>
      </c>
      <c r="G9" s="1">
        <v>500</v>
      </c>
      <c r="H9" s="1">
        <v>267208</v>
      </c>
    </row>
    <row r="10" spans="1:8">
      <c r="A10" t="s">
        <v>8</v>
      </c>
      <c r="B10" t="s">
        <v>26</v>
      </c>
      <c r="C10" t="s">
        <v>27</v>
      </c>
      <c r="D10" s="4">
        <f>VLOOKUP(C10,SQL!$D$2:$E$65,2,FALSE)</f>
        <v>886201548073</v>
      </c>
      <c r="E10" t="s">
        <v>11</v>
      </c>
      <c r="F10" s="1">
        <v>0</v>
      </c>
      <c r="G10" s="1">
        <v>500</v>
      </c>
      <c r="H10" s="1">
        <v>267708</v>
      </c>
    </row>
    <row r="11" spans="1:8">
      <c r="A11" t="s">
        <v>8</v>
      </c>
      <c r="B11" t="s">
        <v>28</v>
      </c>
      <c r="C11" t="s">
        <v>29</v>
      </c>
      <c r="D11" s="4">
        <f>VLOOKUP(C11,SQL!$D$2:$E$65,2,FALSE)</f>
        <v>886201387577</v>
      </c>
      <c r="E11" t="s">
        <v>11</v>
      </c>
      <c r="F11" s="1">
        <v>0</v>
      </c>
      <c r="G11" s="1">
        <v>12000</v>
      </c>
      <c r="H11" s="1">
        <v>279708</v>
      </c>
    </row>
    <row r="12" spans="1:8">
      <c r="A12" t="s">
        <v>8</v>
      </c>
      <c r="B12" t="s">
        <v>30</v>
      </c>
      <c r="C12" t="s">
        <v>31</v>
      </c>
      <c r="D12" s="4">
        <f>VLOOKUP(C12,SQL!$D$2:$E$65,2,FALSE)</f>
        <v>886201057266</v>
      </c>
      <c r="E12" t="s">
        <v>11</v>
      </c>
      <c r="F12" s="1">
        <v>0</v>
      </c>
      <c r="G12" s="1">
        <v>1000</v>
      </c>
      <c r="H12" s="1">
        <v>280708</v>
      </c>
    </row>
    <row r="13" spans="1:8">
      <c r="A13" t="s">
        <v>8</v>
      </c>
      <c r="B13" t="s">
        <v>32</v>
      </c>
      <c r="C13" t="s">
        <v>33</v>
      </c>
      <c r="D13" s="4">
        <f>VLOOKUP(C13,SQL!$D$2:$E$65,2,FALSE)</f>
        <v>886201329082</v>
      </c>
      <c r="E13" t="s">
        <v>11</v>
      </c>
      <c r="F13" s="1">
        <v>0</v>
      </c>
      <c r="G13" s="1">
        <v>5000</v>
      </c>
      <c r="H13" s="1">
        <v>285708</v>
      </c>
    </row>
    <row r="14" spans="1:8">
      <c r="A14" t="s">
        <v>8</v>
      </c>
      <c r="B14" t="s">
        <v>34</v>
      </c>
      <c r="C14" t="s">
        <v>35</v>
      </c>
      <c r="D14" s="4">
        <f>VLOOKUP(C14,SQL!$D$2:$E$65,2,FALSE)</f>
        <v>886201935162</v>
      </c>
      <c r="E14" t="s">
        <v>11</v>
      </c>
      <c r="F14" s="1">
        <v>0</v>
      </c>
      <c r="G14" s="1">
        <v>15000</v>
      </c>
      <c r="H14" s="1">
        <v>300708</v>
      </c>
    </row>
    <row r="15" spans="1:8">
      <c r="A15" t="s">
        <v>8</v>
      </c>
      <c r="B15" t="s">
        <v>36</v>
      </c>
      <c r="C15" t="s">
        <v>37</v>
      </c>
      <c r="D15" s="4">
        <f>VLOOKUP(C15,SQL!$D$2:$E$65,2,FALSE)</f>
        <v>886201613113</v>
      </c>
      <c r="E15" t="s">
        <v>11</v>
      </c>
      <c r="F15" s="1">
        <v>0</v>
      </c>
      <c r="G15" s="1">
        <v>15000</v>
      </c>
      <c r="H15" s="1">
        <v>315708</v>
      </c>
    </row>
    <row r="16" spans="1:8">
      <c r="A16" t="s">
        <v>8</v>
      </c>
      <c r="B16" t="s">
        <v>38</v>
      </c>
      <c r="C16" t="s">
        <v>39</v>
      </c>
      <c r="D16" s="4">
        <f>VLOOKUP(C16,SQL!$D$2:$E$65,2,FALSE)</f>
        <v>886201528748</v>
      </c>
      <c r="E16" t="s">
        <v>11</v>
      </c>
      <c r="F16" s="1">
        <v>0</v>
      </c>
      <c r="G16" s="1">
        <v>500</v>
      </c>
      <c r="H16" s="1">
        <v>316208</v>
      </c>
    </row>
    <row r="17" spans="1:8">
      <c r="A17" t="s">
        <v>8</v>
      </c>
      <c r="B17" t="s">
        <v>40</v>
      </c>
      <c r="C17" t="s">
        <v>41</v>
      </c>
      <c r="D17" s="4">
        <f>VLOOKUP(C17,SQL!$D$2:$E$65,2,FALSE)</f>
        <v>886201500581</v>
      </c>
      <c r="E17" t="s">
        <v>11</v>
      </c>
      <c r="F17" s="1">
        <v>0</v>
      </c>
      <c r="G17" s="1">
        <v>500</v>
      </c>
      <c r="H17" s="1">
        <v>316708</v>
      </c>
    </row>
    <row r="18" spans="1:8">
      <c r="A18" t="s">
        <v>8</v>
      </c>
      <c r="B18" t="s">
        <v>42</v>
      </c>
      <c r="C18" t="s">
        <v>43</v>
      </c>
      <c r="D18" s="4">
        <f>VLOOKUP(C18,SQL!$D$2:$E$65,2,FALSE)</f>
        <v>886201555542</v>
      </c>
      <c r="E18" t="s">
        <v>11</v>
      </c>
      <c r="F18" s="1">
        <v>0</v>
      </c>
      <c r="G18" s="1">
        <v>27000</v>
      </c>
      <c r="H18" s="1">
        <v>343708</v>
      </c>
    </row>
    <row r="19" spans="1:8">
      <c r="A19" t="s">
        <v>8</v>
      </c>
      <c r="B19" t="s">
        <v>44</v>
      </c>
      <c r="C19" t="s">
        <v>45</v>
      </c>
      <c r="D19" s="4">
        <f>VLOOKUP(C19,SQL!$D$2:$E$65,2,FALSE)</f>
        <v>886201527847</v>
      </c>
      <c r="E19" t="s">
        <v>11</v>
      </c>
      <c r="F19" s="1">
        <v>0</v>
      </c>
      <c r="G19" s="1">
        <v>12000</v>
      </c>
      <c r="H19" s="1">
        <v>355708</v>
      </c>
    </row>
    <row r="20" spans="1:8">
      <c r="A20" t="s">
        <v>8</v>
      </c>
      <c r="B20" t="s">
        <v>46</v>
      </c>
      <c r="C20" t="s">
        <v>47</v>
      </c>
      <c r="D20" s="4">
        <f>VLOOKUP(C20,SQL!$D$2:$E$65,2,FALSE)</f>
        <v>886201694277</v>
      </c>
      <c r="E20" t="s">
        <v>11</v>
      </c>
      <c r="F20" s="1">
        <v>0</v>
      </c>
      <c r="G20" s="1">
        <v>25000</v>
      </c>
      <c r="H20" s="1">
        <v>380708</v>
      </c>
    </row>
    <row r="21" spans="1:8">
      <c r="A21" t="s">
        <v>8</v>
      </c>
      <c r="B21" t="s">
        <v>48</v>
      </c>
      <c r="C21" t="s">
        <v>49</v>
      </c>
      <c r="D21" s="4">
        <f>VLOOKUP(C21,SQL!$D$2:$E$65,2,FALSE)</f>
        <v>886201842524</v>
      </c>
      <c r="E21" t="s">
        <v>11</v>
      </c>
      <c r="F21" s="1">
        <v>0</v>
      </c>
      <c r="G21" s="1">
        <v>1200</v>
      </c>
      <c r="H21" s="1">
        <v>381908</v>
      </c>
    </row>
    <row r="22" spans="1:8">
      <c r="A22" t="s">
        <v>8</v>
      </c>
      <c r="B22" t="s">
        <v>50</v>
      </c>
      <c r="C22" t="s">
        <v>51</v>
      </c>
      <c r="D22" s="4">
        <f>VLOOKUP(C22,SQL!$D$2:$E$65,2,FALSE)</f>
        <v>886201764115</v>
      </c>
      <c r="E22" t="s">
        <v>11</v>
      </c>
      <c r="F22" s="1">
        <v>0</v>
      </c>
      <c r="G22" s="1">
        <v>20000</v>
      </c>
      <c r="H22" s="1">
        <v>401908</v>
      </c>
    </row>
    <row r="23" spans="1:8">
      <c r="A23" t="s">
        <v>8</v>
      </c>
      <c r="B23" t="s">
        <v>52</v>
      </c>
      <c r="C23" t="s">
        <v>53</v>
      </c>
      <c r="D23" s="4">
        <f>VLOOKUP(C23,SQL!$D$2:$E$65,2,FALSE)</f>
        <v>886201849724</v>
      </c>
      <c r="E23" t="s">
        <v>11</v>
      </c>
      <c r="F23" s="1">
        <v>0</v>
      </c>
      <c r="G23" s="1">
        <v>3000</v>
      </c>
      <c r="H23" s="1">
        <v>404908</v>
      </c>
    </row>
    <row r="24" spans="1:8">
      <c r="A24" t="s">
        <v>8</v>
      </c>
      <c r="B24" t="s">
        <v>54</v>
      </c>
      <c r="C24" t="s">
        <v>55</v>
      </c>
      <c r="D24" s="4">
        <f>VLOOKUP(C24,SQL!$D$2:$E$65,2,FALSE)</f>
        <v>886201022373</v>
      </c>
      <c r="E24" t="s">
        <v>11</v>
      </c>
      <c r="F24" s="1">
        <v>0</v>
      </c>
      <c r="G24" s="1">
        <v>15000</v>
      </c>
      <c r="H24" s="1">
        <v>419908</v>
      </c>
    </row>
    <row r="25" spans="1:8">
      <c r="A25" t="s">
        <v>8</v>
      </c>
      <c r="B25" t="s">
        <v>56</v>
      </c>
      <c r="C25" t="s">
        <v>57</v>
      </c>
      <c r="D25" s="4">
        <f>VLOOKUP(C25,SQL!$D$2:$E$65,2,FALSE)</f>
        <v>886201708479</v>
      </c>
      <c r="E25" t="s">
        <v>11</v>
      </c>
      <c r="F25" s="1">
        <v>0</v>
      </c>
      <c r="G25" s="1">
        <v>500</v>
      </c>
      <c r="H25" s="1">
        <v>420408</v>
      </c>
    </row>
    <row r="26" spans="1:8">
      <c r="A26" t="s">
        <v>8</v>
      </c>
      <c r="B26" t="s">
        <v>58</v>
      </c>
      <c r="C26" t="s">
        <v>59</v>
      </c>
      <c r="D26" s="4">
        <f>VLOOKUP(C26,SQL!$D$2:$E$65,2,FALSE)</f>
        <v>886201623410</v>
      </c>
      <c r="E26" t="s">
        <v>11</v>
      </c>
      <c r="F26" s="1">
        <v>0</v>
      </c>
      <c r="G26" s="1">
        <v>20000</v>
      </c>
      <c r="H26" s="1">
        <v>440408</v>
      </c>
    </row>
    <row r="27" spans="1:8">
      <c r="A27" t="s">
        <v>8</v>
      </c>
      <c r="B27" t="s">
        <v>60</v>
      </c>
      <c r="C27" t="s">
        <v>61</v>
      </c>
      <c r="D27" s="3">
        <v>876201493184</v>
      </c>
      <c r="E27" t="s">
        <v>11</v>
      </c>
      <c r="F27" s="1">
        <v>0</v>
      </c>
      <c r="G27" s="1">
        <v>210000</v>
      </c>
      <c r="H27" s="1">
        <v>650408</v>
      </c>
    </row>
    <row r="28" spans="1:8">
      <c r="A28" t="s">
        <v>8</v>
      </c>
      <c r="B28" t="s">
        <v>62</v>
      </c>
      <c r="C28" t="s">
        <v>63</v>
      </c>
      <c r="D28" s="4">
        <f>VLOOKUP(C28,SQL!$D$2:$E$65,2,FALSE)</f>
        <v>886201598082</v>
      </c>
      <c r="E28" t="s">
        <v>11</v>
      </c>
      <c r="F28" s="1">
        <v>0</v>
      </c>
      <c r="G28" s="1">
        <v>1200</v>
      </c>
      <c r="H28" s="1">
        <v>651608</v>
      </c>
    </row>
    <row r="29" spans="1:8">
      <c r="A29" t="s">
        <v>8</v>
      </c>
      <c r="B29" t="s">
        <v>64</v>
      </c>
      <c r="C29" t="s">
        <v>65</v>
      </c>
      <c r="D29" s="4">
        <f>VLOOKUP(C29,SQL!$D$2:$E$65,2,FALSE)</f>
        <v>886201121935</v>
      </c>
      <c r="E29" t="s">
        <v>11</v>
      </c>
      <c r="F29" s="1">
        <v>0</v>
      </c>
      <c r="G29" s="1">
        <v>15000</v>
      </c>
      <c r="H29" s="1">
        <v>666608</v>
      </c>
    </row>
    <row r="30" spans="1:8">
      <c r="A30" t="s">
        <v>8</v>
      </c>
      <c r="B30" t="s">
        <v>66</v>
      </c>
      <c r="C30" t="s">
        <v>67</v>
      </c>
      <c r="D30" s="4">
        <f>VLOOKUP(C30,SQL!$D$2:$E$65,2,FALSE)</f>
        <v>886201270884</v>
      </c>
      <c r="E30" t="s">
        <v>11</v>
      </c>
      <c r="F30" s="1">
        <v>0</v>
      </c>
      <c r="G30" s="1">
        <v>8000</v>
      </c>
      <c r="H30" s="1">
        <v>674608</v>
      </c>
    </row>
    <row r="31" spans="1:8">
      <c r="A31" t="s">
        <v>8</v>
      </c>
      <c r="B31" t="s">
        <v>68</v>
      </c>
      <c r="C31" t="s">
        <v>69</v>
      </c>
      <c r="D31" s="4">
        <f>VLOOKUP(C31,SQL!$D$2:$E$65,2,FALSE)</f>
        <v>886201620258</v>
      </c>
      <c r="E31" t="s">
        <v>11</v>
      </c>
      <c r="F31" s="1">
        <v>0</v>
      </c>
      <c r="G31" s="1">
        <v>500</v>
      </c>
      <c r="H31" s="1">
        <v>675108</v>
      </c>
    </row>
    <row r="32" spans="1:8">
      <c r="A32" t="s">
        <v>8</v>
      </c>
      <c r="B32" t="s">
        <v>70</v>
      </c>
      <c r="C32" t="s">
        <v>71</v>
      </c>
      <c r="D32" s="4">
        <f>VLOOKUP(C32,SQL!$D$2:$E$65,2,FALSE)</f>
        <v>886201920868</v>
      </c>
      <c r="E32" t="s">
        <v>11</v>
      </c>
      <c r="F32" s="1">
        <v>0</v>
      </c>
      <c r="G32" s="1">
        <v>1500</v>
      </c>
      <c r="H32" s="1">
        <v>676608</v>
      </c>
    </row>
    <row r="33" spans="1:8">
      <c r="A33" t="s">
        <v>8</v>
      </c>
      <c r="B33" t="s">
        <v>72</v>
      </c>
      <c r="C33" t="s">
        <v>73</v>
      </c>
      <c r="D33" s="4">
        <f>VLOOKUP(C33,SQL!$D$2:$E$65,2,FALSE)</f>
        <v>886201007924</v>
      </c>
      <c r="E33" t="s">
        <v>11</v>
      </c>
      <c r="F33" s="1">
        <v>0</v>
      </c>
      <c r="G33" s="1">
        <v>500</v>
      </c>
      <c r="H33" s="1">
        <v>677108</v>
      </c>
    </row>
    <row r="34" spans="1:8">
      <c r="A34" t="s">
        <v>8</v>
      </c>
      <c r="B34" t="s">
        <v>74</v>
      </c>
      <c r="C34" t="s">
        <v>75</v>
      </c>
      <c r="D34" s="4">
        <f>VLOOKUP(C34,SQL!$D$2:$E$65,2,FALSE)</f>
        <v>886201623410</v>
      </c>
      <c r="E34" t="s">
        <v>11</v>
      </c>
      <c r="F34" s="1">
        <v>0</v>
      </c>
      <c r="G34" s="1">
        <v>20000</v>
      </c>
      <c r="H34" s="1">
        <v>697108</v>
      </c>
    </row>
    <row r="35" spans="1:8">
      <c r="A35" t="s">
        <v>8</v>
      </c>
      <c r="B35" t="s">
        <v>76</v>
      </c>
      <c r="C35" t="s">
        <v>77</v>
      </c>
      <c r="D35" s="4">
        <f>VLOOKUP(C35,SQL!$D$2:$E$65,2,FALSE)</f>
        <v>886201849485</v>
      </c>
      <c r="E35" t="s">
        <v>11</v>
      </c>
      <c r="F35" s="1">
        <v>0</v>
      </c>
      <c r="G35" s="1">
        <v>3000</v>
      </c>
      <c r="H35" s="1">
        <v>700108</v>
      </c>
    </row>
    <row r="36" spans="1:8">
      <c r="A36" t="s">
        <v>8</v>
      </c>
      <c r="B36" t="s">
        <v>78</v>
      </c>
      <c r="C36" t="s">
        <v>79</v>
      </c>
      <c r="D36" s="4">
        <f>VLOOKUP(C36,SQL!$D$2:$E$65,2,FALSE)</f>
        <v>886201835909</v>
      </c>
      <c r="E36" t="s">
        <v>11</v>
      </c>
      <c r="F36" s="1">
        <v>0</v>
      </c>
      <c r="G36" s="1">
        <v>500</v>
      </c>
      <c r="H36" s="1">
        <v>700608</v>
      </c>
    </row>
    <row r="37" spans="1:8">
      <c r="A37" t="s">
        <v>8</v>
      </c>
      <c r="B37" t="s">
        <v>80</v>
      </c>
      <c r="C37" t="s">
        <v>81</v>
      </c>
      <c r="D37" s="4">
        <f>VLOOKUP(C37,SQL!$D$2:$E$65,2,FALSE)</f>
        <v>886201272240</v>
      </c>
      <c r="E37" t="s">
        <v>11</v>
      </c>
      <c r="F37" s="1">
        <v>0</v>
      </c>
      <c r="G37" s="1">
        <v>35000</v>
      </c>
      <c r="H37" s="1">
        <v>735608</v>
      </c>
    </row>
    <row r="38" spans="1:8">
      <c r="A38" t="s">
        <v>8</v>
      </c>
      <c r="B38" t="s">
        <v>82</v>
      </c>
      <c r="C38" t="s">
        <v>83</v>
      </c>
      <c r="D38" s="4">
        <f>VLOOKUP(C38,SQL!$D$2:$E$65,2,FALSE)</f>
        <v>886201368768</v>
      </c>
      <c r="E38" t="s">
        <v>11</v>
      </c>
      <c r="F38" s="1">
        <v>0</v>
      </c>
      <c r="G38" s="1">
        <v>15000</v>
      </c>
      <c r="H38" s="1">
        <v>750608</v>
      </c>
    </row>
    <row r="39" spans="1:8">
      <c r="A39" t="s">
        <v>8</v>
      </c>
      <c r="B39" t="s">
        <v>84</v>
      </c>
      <c r="C39" t="s">
        <v>85</v>
      </c>
      <c r="D39" s="4">
        <f>VLOOKUP(C39,SQL!$D$2:$E$65,2,FALSE)</f>
        <v>886201518962</v>
      </c>
      <c r="E39" t="s">
        <v>11</v>
      </c>
      <c r="F39" s="1">
        <v>0</v>
      </c>
      <c r="G39" s="1">
        <v>500</v>
      </c>
      <c r="H39" s="1">
        <v>751108</v>
      </c>
    </row>
    <row r="40" spans="1:8">
      <c r="A40" t="s">
        <v>8</v>
      </c>
      <c r="B40" t="s">
        <v>86</v>
      </c>
      <c r="C40" t="s">
        <v>87</v>
      </c>
      <c r="D40" s="3">
        <v>886201801279</v>
      </c>
      <c r="E40" t="s">
        <v>11</v>
      </c>
      <c r="F40" s="1">
        <v>0</v>
      </c>
      <c r="G40" s="1">
        <v>15000</v>
      </c>
      <c r="H40" s="1">
        <v>766108</v>
      </c>
    </row>
    <row r="41" spans="1:8">
      <c r="A41" t="s">
        <v>8</v>
      </c>
      <c r="B41" t="s">
        <v>88</v>
      </c>
      <c r="C41" t="s">
        <v>89</v>
      </c>
      <c r="D41" s="4">
        <f>VLOOKUP(C41,SQL!$D$2:$E$65,2,FALSE)</f>
        <v>886201841941</v>
      </c>
      <c r="E41" t="s">
        <v>11</v>
      </c>
      <c r="F41" s="1">
        <v>0</v>
      </c>
      <c r="G41" s="1">
        <v>5000</v>
      </c>
      <c r="H41" s="1">
        <v>771108</v>
      </c>
    </row>
    <row r="42" spans="1:8">
      <c r="A42" t="s">
        <v>8</v>
      </c>
      <c r="B42" t="s">
        <v>90</v>
      </c>
      <c r="C42" t="s">
        <v>91</v>
      </c>
      <c r="D42" s="4">
        <f>VLOOKUP(C42,SQL!$D$2:$E$65,2,FALSE)</f>
        <v>886201558686</v>
      </c>
      <c r="E42" t="s">
        <v>11</v>
      </c>
      <c r="F42" s="1">
        <v>0</v>
      </c>
      <c r="G42" s="1">
        <v>16000</v>
      </c>
      <c r="H42" s="1">
        <v>787108</v>
      </c>
    </row>
    <row r="43" spans="1:8">
      <c r="A43" t="s">
        <v>8</v>
      </c>
      <c r="B43" t="s">
        <v>92</v>
      </c>
      <c r="C43" t="s">
        <v>93</v>
      </c>
      <c r="D43" s="4">
        <f>VLOOKUP(C43,SQL!$D$2:$E$65,2,FALSE)</f>
        <v>886201253768</v>
      </c>
      <c r="E43" t="s">
        <v>11</v>
      </c>
      <c r="F43" s="1">
        <v>0</v>
      </c>
      <c r="G43" s="1">
        <v>8000</v>
      </c>
      <c r="H43" s="1">
        <v>795108</v>
      </c>
    </row>
    <row r="44" spans="1:8">
      <c r="A44" t="s">
        <v>8</v>
      </c>
      <c r="B44" t="s">
        <v>94</v>
      </c>
      <c r="C44" t="s">
        <v>95</v>
      </c>
      <c r="D44" s="4">
        <f>VLOOKUP(C44,SQL!$D$2:$E$65,2,FALSE)</f>
        <v>886201111040</v>
      </c>
      <c r="E44" t="s">
        <v>11</v>
      </c>
      <c r="F44" s="1">
        <v>0</v>
      </c>
      <c r="G44" s="1">
        <v>6000</v>
      </c>
      <c r="H44" s="1">
        <v>801108</v>
      </c>
    </row>
    <row r="45" spans="1:8">
      <c r="A45" t="s">
        <v>8</v>
      </c>
      <c r="B45" t="s">
        <v>96</v>
      </c>
      <c r="C45" t="s">
        <v>97</v>
      </c>
      <c r="D45" s="4">
        <f>VLOOKUP(C45,SQL!$D$2:$E$65,2,FALSE)</f>
        <v>886201108595</v>
      </c>
      <c r="E45" t="s">
        <v>11</v>
      </c>
      <c r="F45" s="1">
        <v>0</v>
      </c>
      <c r="G45" s="1">
        <v>15000</v>
      </c>
      <c r="H45" s="1">
        <v>816108</v>
      </c>
    </row>
    <row r="46" spans="1:8">
      <c r="A46" t="s">
        <v>8</v>
      </c>
      <c r="B46" t="s">
        <v>98</v>
      </c>
      <c r="C46" t="s">
        <v>99</v>
      </c>
      <c r="D46" s="4">
        <f>VLOOKUP(C46,SQL!$D$2:$E$65,2,FALSE)</f>
        <v>886201303014</v>
      </c>
      <c r="E46" t="s">
        <v>11</v>
      </c>
      <c r="F46" s="1">
        <v>0</v>
      </c>
      <c r="G46" s="1">
        <v>10000</v>
      </c>
      <c r="H46" s="1">
        <v>826108</v>
      </c>
    </row>
    <row r="47" spans="1:8">
      <c r="A47" t="s">
        <v>8</v>
      </c>
      <c r="B47" t="s">
        <v>100</v>
      </c>
      <c r="C47" t="s">
        <v>101</v>
      </c>
      <c r="D47" s="4">
        <f>VLOOKUP(C47,SQL!$D$2:$E$65,2,FALSE)</f>
        <v>886199184593</v>
      </c>
      <c r="E47" t="s">
        <v>11</v>
      </c>
      <c r="F47" s="1">
        <v>0</v>
      </c>
      <c r="G47" s="1">
        <v>100000</v>
      </c>
      <c r="H47" s="1">
        <v>926108</v>
      </c>
    </row>
    <row r="48" spans="1:8">
      <c r="A48" t="s">
        <v>8</v>
      </c>
      <c r="B48" t="s">
        <v>102</v>
      </c>
      <c r="C48" t="s">
        <v>103</v>
      </c>
      <c r="D48" s="4">
        <f>VLOOKUP(C48,SQL!$D$2:$E$65,2,FALSE)</f>
        <v>886201616363</v>
      </c>
      <c r="E48" t="s">
        <v>11</v>
      </c>
      <c r="F48" s="1">
        <v>0</v>
      </c>
      <c r="G48" s="1">
        <v>3000</v>
      </c>
      <c r="H48" s="1">
        <v>929108</v>
      </c>
    </row>
    <row r="49" spans="1:8">
      <c r="A49" t="s">
        <v>8</v>
      </c>
      <c r="B49" t="s">
        <v>104</v>
      </c>
      <c r="C49" t="s">
        <v>105</v>
      </c>
      <c r="D49" s="3">
        <v>886201775740</v>
      </c>
      <c r="E49" t="s">
        <v>11</v>
      </c>
      <c r="F49" s="1">
        <v>0</v>
      </c>
      <c r="G49" s="1">
        <v>48000</v>
      </c>
      <c r="H49" s="1">
        <v>977108</v>
      </c>
    </row>
    <row r="50" spans="1:8">
      <c r="A50" t="s">
        <v>8</v>
      </c>
      <c r="B50" t="s">
        <v>106</v>
      </c>
      <c r="C50" t="s">
        <v>107</v>
      </c>
      <c r="D50" s="4">
        <f>VLOOKUP(C50,SQL!$D$2:$E$65,2,FALSE)</f>
        <v>886201540482</v>
      </c>
      <c r="E50" t="s">
        <v>11</v>
      </c>
      <c r="F50" s="1">
        <v>0</v>
      </c>
      <c r="G50" s="1">
        <v>6000</v>
      </c>
      <c r="H50" s="1">
        <v>983108</v>
      </c>
    </row>
    <row r="51" spans="1:8">
      <c r="A51" t="s">
        <v>8</v>
      </c>
      <c r="B51" t="s">
        <v>108</v>
      </c>
      <c r="C51" t="s">
        <v>109</v>
      </c>
      <c r="D51" s="4">
        <f>VLOOKUP(C51,SQL!$D$2:$E$65,2,FALSE)</f>
        <v>886201094439</v>
      </c>
      <c r="E51" t="s">
        <v>11</v>
      </c>
      <c r="F51" s="1">
        <v>0</v>
      </c>
      <c r="G51" s="1">
        <v>35000</v>
      </c>
      <c r="H51" s="1">
        <v>1018108</v>
      </c>
    </row>
    <row r="52" spans="1:8">
      <c r="A52" t="s">
        <v>8</v>
      </c>
      <c r="B52" t="s">
        <v>110</v>
      </c>
      <c r="C52" t="s">
        <v>111</v>
      </c>
      <c r="D52" s="4">
        <f>VLOOKUP(C52,SQL!$D$2:$E$65,2,FALSE)</f>
        <v>886201735944</v>
      </c>
      <c r="E52" t="s">
        <v>11</v>
      </c>
      <c r="F52" s="1">
        <v>0</v>
      </c>
      <c r="G52" s="1">
        <v>20000</v>
      </c>
      <c r="H52" s="1">
        <v>1038108</v>
      </c>
    </row>
    <row r="53" spans="1:8">
      <c r="A53" t="s">
        <v>8</v>
      </c>
      <c r="B53" t="s">
        <v>112</v>
      </c>
      <c r="C53" t="s">
        <v>113</v>
      </c>
      <c r="D53" s="4">
        <f>VLOOKUP(C53,SQL!$D$2:$E$65,2,FALSE)</f>
        <v>886201333273</v>
      </c>
      <c r="E53" t="s">
        <v>11</v>
      </c>
      <c r="F53" s="1">
        <v>0</v>
      </c>
      <c r="G53" s="1">
        <v>500</v>
      </c>
      <c r="H53" s="1">
        <v>1038608</v>
      </c>
    </row>
    <row r="54" spans="1:8">
      <c r="A54" t="s">
        <v>8</v>
      </c>
      <c r="B54" t="s">
        <v>114</v>
      </c>
      <c r="C54" t="s">
        <v>115</v>
      </c>
      <c r="D54" s="4">
        <f>VLOOKUP(C54,SQL!$D$2:$E$65,2,FALSE)</f>
        <v>886201464751</v>
      </c>
      <c r="E54" t="s">
        <v>11</v>
      </c>
      <c r="F54" s="1">
        <v>0</v>
      </c>
      <c r="G54" s="1">
        <v>21000</v>
      </c>
      <c r="H54" s="1">
        <v>1059608</v>
      </c>
    </row>
    <row r="55" spans="1:8">
      <c r="A55" t="s">
        <v>8</v>
      </c>
      <c r="B55" t="s">
        <v>116</v>
      </c>
      <c r="C55" t="s">
        <v>117</v>
      </c>
      <c r="D55" s="4">
        <f>VLOOKUP(C55,SQL!$D$2:$E$65,2,FALSE)</f>
        <v>886201881491</v>
      </c>
      <c r="E55" t="s">
        <v>11</v>
      </c>
      <c r="F55" s="1">
        <v>0</v>
      </c>
      <c r="G55" s="1">
        <v>12000</v>
      </c>
      <c r="H55" s="1">
        <v>1071608</v>
      </c>
    </row>
    <row r="56" spans="1:8">
      <c r="A56" t="s">
        <v>8</v>
      </c>
      <c r="B56" t="s">
        <v>118</v>
      </c>
      <c r="C56" t="s">
        <v>119</v>
      </c>
      <c r="D56" s="4">
        <f>VLOOKUP(C56,SQL!$D$2:$E$65,2,FALSE)</f>
        <v>886201377127</v>
      </c>
      <c r="E56" t="s">
        <v>11</v>
      </c>
      <c r="F56" s="1">
        <v>0</v>
      </c>
      <c r="G56" s="1">
        <v>10000</v>
      </c>
      <c r="H56" s="1">
        <v>1081608</v>
      </c>
    </row>
    <row r="57" spans="1:8">
      <c r="A57" t="s">
        <v>8</v>
      </c>
      <c r="B57" t="s">
        <v>120</v>
      </c>
      <c r="C57" t="s">
        <v>121</v>
      </c>
      <c r="D57" s="3">
        <v>886201021412</v>
      </c>
      <c r="E57" t="s">
        <v>11</v>
      </c>
      <c r="F57" s="1">
        <v>0</v>
      </c>
      <c r="G57" s="1">
        <v>27000</v>
      </c>
      <c r="H57" s="1">
        <v>1108608</v>
      </c>
    </row>
    <row r="58" spans="1:8">
      <c r="A58" t="s">
        <v>8</v>
      </c>
      <c r="B58" t="s">
        <v>122</v>
      </c>
      <c r="C58" t="s">
        <v>123</v>
      </c>
      <c r="D58" s="4">
        <f>VLOOKUP(C58,SQL!$D$2:$E$65,2,FALSE)</f>
        <v>886201993531</v>
      </c>
      <c r="E58" t="s">
        <v>11</v>
      </c>
      <c r="F58" s="1">
        <v>0</v>
      </c>
      <c r="G58" s="1">
        <v>3000</v>
      </c>
      <c r="H58" s="1">
        <v>1111608</v>
      </c>
    </row>
    <row r="59" spans="1:8">
      <c r="A59" t="s">
        <v>8</v>
      </c>
      <c r="B59" t="s">
        <v>124</v>
      </c>
      <c r="C59" t="s">
        <v>125</v>
      </c>
      <c r="D59" s="4">
        <f>VLOOKUP(C59,SQL!$D$2:$E$65,2,FALSE)</f>
        <v>886201926638</v>
      </c>
      <c r="E59" t="s">
        <v>11</v>
      </c>
      <c r="F59" s="1">
        <v>0</v>
      </c>
      <c r="G59" s="1">
        <v>40000</v>
      </c>
      <c r="H59" s="1">
        <v>1151608</v>
      </c>
    </row>
    <row r="60" spans="1:8">
      <c r="A60" t="s">
        <v>8</v>
      </c>
      <c r="B60" t="s">
        <v>126</v>
      </c>
      <c r="C60" t="s">
        <v>127</v>
      </c>
      <c r="D60" s="3">
        <v>886201422206</v>
      </c>
      <c r="E60" t="s">
        <v>11</v>
      </c>
      <c r="F60" s="1">
        <v>0</v>
      </c>
      <c r="G60" s="1">
        <v>500</v>
      </c>
      <c r="H60" s="1">
        <v>1152108</v>
      </c>
    </row>
    <row r="61" spans="1:8">
      <c r="A61" t="s">
        <v>8</v>
      </c>
      <c r="B61" t="s">
        <v>128</v>
      </c>
      <c r="C61" t="s">
        <v>129</v>
      </c>
      <c r="D61" s="4">
        <f>VLOOKUP(C61,SQL!$D$2:$E$65,2,FALSE)</f>
        <v>886201976220</v>
      </c>
      <c r="E61" t="s">
        <v>11</v>
      </c>
      <c r="F61" s="1">
        <v>0</v>
      </c>
      <c r="G61" s="1">
        <v>25000</v>
      </c>
      <c r="H61" s="1">
        <v>1177108</v>
      </c>
    </row>
    <row r="62" spans="1:8">
      <c r="A62" t="s">
        <v>8</v>
      </c>
      <c r="B62" t="s">
        <v>130</v>
      </c>
      <c r="C62" t="s">
        <v>131</v>
      </c>
      <c r="D62" s="4">
        <f>VLOOKUP(C62,SQL!$D$2:$E$65,2,FALSE)</f>
        <v>876201645174</v>
      </c>
      <c r="E62" t="s">
        <v>11</v>
      </c>
      <c r="F62" s="1">
        <v>0</v>
      </c>
      <c r="G62" s="1">
        <v>76000</v>
      </c>
      <c r="H62" s="1">
        <v>1253108</v>
      </c>
    </row>
    <row r="63" spans="1:8">
      <c r="A63" t="s">
        <v>8</v>
      </c>
      <c r="B63" t="s">
        <v>132</v>
      </c>
      <c r="C63" t="s">
        <v>133</v>
      </c>
      <c r="D63" s="4">
        <f>VLOOKUP(C63,SQL!$D$2:$E$65,2,FALSE)</f>
        <v>886201372050</v>
      </c>
      <c r="E63" t="s">
        <v>11</v>
      </c>
      <c r="F63" s="1">
        <v>0</v>
      </c>
      <c r="G63" s="1">
        <v>40000</v>
      </c>
      <c r="H63" s="1">
        <v>1293108</v>
      </c>
    </row>
    <row r="64" spans="1:8">
      <c r="A64" t="s">
        <v>8</v>
      </c>
      <c r="B64" t="s">
        <v>134</v>
      </c>
      <c r="C64" t="s">
        <v>135</v>
      </c>
      <c r="D64" s="4">
        <f>VLOOKUP(C64,SQL!$D$2:$E$65,2,FALSE)</f>
        <v>886201363461</v>
      </c>
      <c r="E64" t="s">
        <v>11</v>
      </c>
      <c r="F64" s="1">
        <v>0</v>
      </c>
      <c r="G64" s="1">
        <v>25000</v>
      </c>
      <c r="H64" s="1">
        <v>1318108</v>
      </c>
    </row>
    <row r="65" spans="1:8">
      <c r="A65" t="s">
        <v>8</v>
      </c>
      <c r="B65" t="s">
        <v>136</v>
      </c>
      <c r="C65" t="s">
        <v>137</v>
      </c>
      <c r="D65" s="4">
        <f>VLOOKUP(C65,SQL!$D$2:$E$65,2,FALSE)</f>
        <v>886201265623</v>
      </c>
      <c r="E65" t="s">
        <v>11</v>
      </c>
      <c r="F65" s="1">
        <v>0</v>
      </c>
      <c r="G65" s="1">
        <v>24000</v>
      </c>
      <c r="H65" s="1">
        <v>1342108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E65"/>
  <sheetViews>
    <sheetView topLeftCell="A2" workbookViewId="0">
      <selection activeCell="E4" sqref="E4"/>
    </sheetView>
  </sheetViews>
  <sheetFormatPr defaultRowHeight="14.45"/>
  <cols>
    <col min="4" max="4" width="18.5703125" customWidth="1"/>
    <col min="5" max="5" width="15.42578125" bestFit="1" customWidth="1"/>
  </cols>
  <sheetData>
    <row r="2" spans="4:5">
      <c r="D2" s="2">
        <v>20144616465</v>
      </c>
      <c r="E2" s="3">
        <v>886201801279</v>
      </c>
    </row>
    <row r="3" spans="4:5">
      <c r="D3" s="2">
        <v>20144616494</v>
      </c>
      <c r="E3" s="3">
        <v>886201775740</v>
      </c>
    </row>
    <row r="4" spans="4:5">
      <c r="D4" s="2">
        <v>20144617161</v>
      </c>
      <c r="E4" s="3">
        <v>886201422206</v>
      </c>
    </row>
    <row r="5" spans="4:5">
      <c r="D5" s="2">
        <v>20144618197</v>
      </c>
      <c r="E5" s="3">
        <v>886201021412</v>
      </c>
    </row>
    <row r="6" spans="4:5">
      <c r="D6" s="2">
        <v>20144624938</v>
      </c>
      <c r="E6" s="3">
        <v>876201493184</v>
      </c>
    </row>
    <row r="7" spans="4:5">
      <c r="D7" s="2" t="s">
        <v>63</v>
      </c>
      <c r="E7" s="3">
        <v>886201598082</v>
      </c>
    </row>
    <row r="8" spans="4:5">
      <c r="D8" s="2" t="s">
        <v>55</v>
      </c>
      <c r="E8" s="3">
        <v>886201022373</v>
      </c>
    </row>
    <row r="9" spans="4:5">
      <c r="D9" s="2" t="s">
        <v>41</v>
      </c>
      <c r="E9" s="3">
        <v>886201500581</v>
      </c>
    </row>
    <row r="10" spans="4:5">
      <c r="D10" s="2" t="s">
        <v>45</v>
      </c>
      <c r="E10" s="3">
        <v>886201527847</v>
      </c>
    </row>
    <row r="11" spans="4:5">
      <c r="D11" s="2" t="s">
        <v>29</v>
      </c>
      <c r="E11" s="3">
        <v>886201387577</v>
      </c>
    </row>
    <row r="12" spans="4:5">
      <c r="D12" s="2" t="s">
        <v>31</v>
      </c>
      <c r="E12" s="3">
        <v>886201057266</v>
      </c>
    </row>
    <row r="13" spans="4:5">
      <c r="D13" s="2" t="s">
        <v>69</v>
      </c>
      <c r="E13" s="3">
        <v>886201620258</v>
      </c>
    </row>
    <row r="14" spans="4:5">
      <c r="D14" s="2" t="s">
        <v>107</v>
      </c>
      <c r="E14" s="3">
        <v>886201540482</v>
      </c>
    </row>
    <row r="15" spans="4:5">
      <c r="D15" s="2" t="s">
        <v>15</v>
      </c>
      <c r="E15" s="3">
        <v>886201697374</v>
      </c>
    </row>
    <row r="16" spans="4:5">
      <c r="D16" s="2" t="s">
        <v>81</v>
      </c>
      <c r="E16" s="3">
        <v>886201272240</v>
      </c>
    </row>
    <row r="17" spans="4:5">
      <c r="D17" s="2" t="s">
        <v>89</v>
      </c>
      <c r="E17" s="3">
        <v>886201841941</v>
      </c>
    </row>
    <row r="18" spans="4:5">
      <c r="D18" s="2" t="s">
        <v>39</v>
      </c>
      <c r="E18" s="3">
        <v>886201528748</v>
      </c>
    </row>
    <row r="19" spans="4:5">
      <c r="D19" s="2" t="s">
        <v>109</v>
      </c>
      <c r="E19" s="3">
        <v>886201094439</v>
      </c>
    </row>
    <row r="20" spans="4:5">
      <c r="D20" s="2" t="s">
        <v>113</v>
      </c>
      <c r="E20" s="3">
        <v>886201333273</v>
      </c>
    </row>
    <row r="21" spans="4:5">
      <c r="D21" s="2" t="s">
        <v>27</v>
      </c>
      <c r="E21" s="3">
        <v>886201548073</v>
      </c>
    </row>
    <row r="22" spans="4:5">
      <c r="D22" s="2" t="s">
        <v>73</v>
      </c>
      <c r="E22" s="3">
        <v>886201007924</v>
      </c>
    </row>
    <row r="23" spans="4:5">
      <c r="D23" s="2" t="s">
        <v>13</v>
      </c>
      <c r="E23" s="3">
        <v>886201548722</v>
      </c>
    </row>
    <row r="24" spans="4:5">
      <c r="D24" s="2" t="s">
        <v>37</v>
      </c>
      <c r="E24" s="3">
        <v>886201613113</v>
      </c>
    </row>
    <row r="25" spans="4:5">
      <c r="D25" s="2" t="s">
        <v>10</v>
      </c>
      <c r="E25" s="3">
        <v>886201071824</v>
      </c>
    </row>
    <row r="26" spans="4:5">
      <c r="D26" s="2" t="s">
        <v>53</v>
      </c>
      <c r="E26" s="3">
        <v>886201849724</v>
      </c>
    </row>
    <row r="27" spans="4:5">
      <c r="D27" s="2" t="s">
        <v>77</v>
      </c>
      <c r="E27" s="3">
        <v>886201849485</v>
      </c>
    </row>
    <row r="28" spans="4:5">
      <c r="D28" s="2" t="s">
        <v>97</v>
      </c>
      <c r="E28" s="3">
        <v>886201108595</v>
      </c>
    </row>
    <row r="29" spans="4:5">
      <c r="D29" s="2" t="s">
        <v>115</v>
      </c>
      <c r="E29" s="3">
        <v>886201464751</v>
      </c>
    </row>
    <row r="30" spans="4:5">
      <c r="D30" s="2" t="s">
        <v>95</v>
      </c>
      <c r="E30" s="3">
        <v>886201111040</v>
      </c>
    </row>
    <row r="31" spans="4:5">
      <c r="D31" s="2" t="s">
        <v>119</v>
      </c>
      <c r="E31" s="3">
        <v>886201377127</v>
      </c>
    </row>
    <row r="32" spans="4:5">
      <c r="D32" s="2" t="s">
        <v>21</v>
      </c>
      <c r="E32" s="3">
        <v>886201257709</v>
      </c>
    </row>
    <row r="33" spans="4:5">
      <c r="D33" s="2" t="s">
        <v>117</v>
      </c>
      <c r="E33" s="3">
        <v>886201881491</v>
      </c>
    </row>
    <row r="34" spans="4:5">
      <c r="D34" s="2" t="s">
        <v>101</v>
      </c>
      <c r="E34" s="3">
        <v>886199184593</v>
      </c>
    </row>
    <row r="35" spans="4:5">
      <c r="D35" s="2" t="s">
        <v>103</v>
      </c>
      <c r="E35" s="3">
        <v>886201616363</v>
      </c>
    </row>
    <row r="36" spans="4:5">
      <c r="D36" s="2" t="s">
        <v>57</v>
      </c>
      <c r="E36" s="3">
        <v>886201708479</v>
      </c>
    </row>
    <row r="37" spans="4:5">
      <c r="D37" s="2" t="s">
        <v>35</v>
      </c>
      <c r="E37" s="3">
        <v>886201935162</v>
      </c>
    </row>
    <row r="38" spans="4:5">
      <c r="D38" s="2" t="s">
        <v>85</v>
      </c>
      <c r="E38" s="3">
        <v>886201518962</v>
      </c>
    </row>
    <row r="39" spans="4:5">
      <c r="D39" s="2" t="s">
        <v>43</v>
      </c>
      <c r="E39" s="3">
        <v>886201555542</v>
      </c>
    </row>
    <row r="40" spans="4:5">
      <c r="D40" s="2" t="s">
        <v>67</v>
      </c>
      <c r="E40" s="3">
        <v>886201270884</v>
      </c>
    </row>
    <row r="41" spans="4:5">
      <c r="D41" s="2" t="s">
        <v>137</v>
      </c>
      <c r="E41" s="3">
        <v>886201265623</v>
      </c>
    </row>
    <row r="42" spans="4:5">
      <c r="D42" s="2" t="s">
        <v>17</v>
      </c>
      <c r="E42" s="3">
        <v>886201538085</v>
      </c>
    </row>
    <row r="43" spans="4:5">
      <c r="D43" s="2" t="s">
        <v>79</v>
      </c>
      <c r="E43" s="3">
        <v>886201835909</v>
      </c>
    </row>
    <row r="44" spans="4:5">
      <c r="D44" s="2" t="s">
        <v>19</v>
      </c>
      <c r="E44" s="3">
        <v>886201135631</v>
      </c>
    </row>
    <row r="45" spans="4:5">
      <c r="D45" s="2" t="s">
        <v>111</v>
      </c>
      <c r="E45" s="3">
        <v>886201735944</v>
      </c>
    </row>
    <row r="46" spans="4:5">
      <c r="D46" s="2" t="s">
        <v>93</v>
      </c>
      <c r="E46" s="3">
        <v>886201253768</v>
      </c>
    </row>
    <row r="47" spans="4:5">
      <c r="D47" s="2" t="s">
        <v>75</v>
      </c>
      <c r="E47" s="3">
        <v>886201623410</v>
      </c>
    </row>
    <row r="48" spans="4:5">
      <c r="D48" s="2" t="s">
        <v>33</v>
      </c>
      <c r="E48" s="3">
        <v>886201329082</v>
      </c>
    </row>
    <row r="49" spans="4:5">
      <c r="D49" s="2" t="s">
        <v>123</v>
      </c>
      <c r="E49" s="3">
        <v>886201993531</v>
      </c>
    </row>
    <row r="50" spans="4:5">
      <c r="D50" s="2" t="s">
        <v>99</v>
      </c>
      <c r="E50" s="3">
        <v>886201303014</v>
      </c>
    </row>
    <row r="51" spans="4:5">
      <c r="D51" s="2" t="s">
        <v>135</v>
      </c>
      <c r="E51" s="3">
        <v>886201363461</v>
      </c>
    </row>
    <row r="52" spans="4:5">
      <c r="D52" s="2" t="s">
        <v>91</v>
      </c>
      <c r="E52" s="3">
        <v>886201558686</v>
      </c>
    </row>
    <row r="53" spans="4:5">
      <c r="D53" s="2" t="s">
        <v>47</v>
      </c>
      <c r="E53" s="3">
        <v>886201694277</v>
      </c>
    </row>
    <row r="54" spans="4:5">
      <c r="D54" s="2" t="s">
        <v>83</v>
      </c>
      <c r="E54" s="3">
        <v>886201368768</v>
      </c>
    </row>
    <row r="55" spans="4:5">
      <c r="D55" s="2" t="s">
        <v>59</v>
      </c>
      <c r="E55" s="3">
        <v>886201623410</v>
      </c>
    </row>
    <row r="56" spans="4:5">
      <c r="D56" s="2" t="s">
        <v>133</v>
      </c>
      <c r="E56" s="3">
        <v>886201372050</v>
      </c>
    </row>
    <row r="57" spans="4:5">
      <c r="D57" s="2" t="s">
        <v>65</v>
      </c>
      <c r="E57" s="3">
        <v>886201121935</v>
      </c>
    </row>
    <row r="58" spans="4:5">
      <c r="D58" s="2" t="s">
        <v>25</v>
      </c>
      <c r="E58" s="3">
        <v>886201245670</v>
      </c>
    </row>
    <row r="59" spans="4:5">
      <c r="D59" s="2" t="s">
        <v>51</v>
      </c>
      <c r="E59" s="3">
        <v>886201764115</v>
      </c>
    </row>
    <row r="60" spans="4:5">
      <c r="D60" s="2" t="s">
        <v>71</v>
      </c>
      <c r="E60" s="3">
        <v>886201920868</v>
      </c>
    </row>
    <row r="61" spans="4:5">
      <c r="D61" s="2" t="s">
        <v>131</v>
      </c>
      <c r="E61" s="3">
        <v>876201645174</v>
      </c>
    </row>
    <row r="62" spans="4:5">
      <c r="D62" s="2" t="s">
        <v>23</v>
      </c>
      <c r="E62" s="3">
        <v>886201369020</v>
      </c>
    </row>
    <row r="63" spans="4:5">
      <c r="D63" s="2" t="s">
        <v>125</v>
      </c>
      <c r="E63" s="3">
        <v>886201926638</v>
      </c>
    </row>
    <row r="64" spans="4:5">
      <c r="D64" s="2" t="s">
        <v>129</v>
      </c>
      <c r="E64" s="3">
        <v>886201976220</v>
      </c>
    </row>
    <row r="65" spans="4:5">
      <c r="D65" s="2" t="s">
        <v>49</v>
      </c>
      <c r="E65" s="3">
        <v>886201842524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2026-07-21T08:47:42Z</dcterms:created>
  <dcterms:modified xsi:type="dcterms:W3CDTF">2026-08-04T09:44:51Z</dcterms:modified>
  <cp:category/>
  <cp:contentStatus/>
</cp:coreProperties>
</file>