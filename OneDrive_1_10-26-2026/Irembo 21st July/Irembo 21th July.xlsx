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31" documentId="11_0C8E1E0BEF30CE75DF933E0E224EE961C562B38C" xr6:coauthVersionLast="47" xr6:coauthVersionMax="47" xr10:uidLastSave="{A92AB947-A3C3-4121-9F27-1EE5DC736CC4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7" i="1"/>
  <c r="D48" i="1"/>
  <c r="D49" i="1"/>
  <c r="D50" i="1"/>
  <c r="D51" i="1"/>
  <c r="D52" i="1"/>
  <c r="D53" i="1"/>
  <c r="D54" i="1"/>
  <c r="D56" i="1"/>
  <c r="D57" i="1"/>
  <c r="D58" i="1"/>
  <c r="D59" i="1"/>
  <c r="D2" i="1"/>
</calcChain>
</file>

<file path=xl/sharedStrings.xml><?xml version="1.0" encoding="utf-8"?>
<sst xmlns="http://schemas.openxmlformats.org/spreadsheetml/2006/main" count="305" uniqueCount="126">
  <si>
    <t>BOOKING_DATE</t>
  </si>
  <si>
    <t>BANK_REFERENCE</t>
  </si>
  <si>
    <t>DESCRIPTION</t>
  </si>
  <si>
    <t>INVOICES</t>
  </si>
  <si>
    <t>VALUE_DATE</t>
  </si>
  <si>
    <t>DEBIT</t>
  </si>
  <si>
    <t>CREDIT</t>
  </si>
  <si>
    <t>CLOSING_BALANCE</t>
  </si>
  <si>
    <t>2026-07-21</t>
  </si>
  <si>
    <t>FT26202G054T</t>
  </si>
  <si>
    <t>SZ600JWU4C27</t>
  </si>
  <si>
    <t>21-JUL-26</t>
  </si>
  <si>
    <t>FT26202BW66D</t>
  </si>
  <si>
    <t>SZ100J3UT3X8</t>
  </si>
  <si>
    <t>FT26202SKKJD</t>
  </si>
  <si>
    <t>SZW00JMYKL84</t>
  </si>
  <si>
    <t>FT262025YGL3</t>
  </si>
  <si>
    <t>SZP00JNMCC8D</t>
  </si>
  <si>
    <t>FT26202B2CN4</t>
  </si>
  <si>
    <t>SZ200JWDBDKS</t>
  </si>
  <si>
    <t>FT26202MRF8T</t>
  </si>
  <si>
    <t>SZF00JX21LLA</t>
  </si>
  <si>
    <t>FT26202P6KSP</t>
  </si>
  <si>
    <t>SZE00JMKFBNJ</t>
  </si>
  <si>
    <t>FT26202QHPBR</t>
  </si>
  <si>
    <t>SZM00JJCF1KV</t>
  </si>
  <si>
    <t>FT26202PC9JN</t>
  </si>
  <si>
    <t>SZT00JJV8UDJ</t>
  </si>
  <si>
    <t>FT26202R717S</t>
  </si>
  <si>
    <t>SZK00JS0BJA6</t>
  </si>
  <si>
    <t>FT2620250YB9</t>
  </si>
  <si>
    <t>SZ600JNTS076</t>
  </si>
  <si>
    <t>FT26202YSV96</t>
  </si>
  <si>
    <t>SZ800JRMYS7H</t>
  </si>
  <si>
    <t>FT26202TCNWC</t>
  </si>
  <si>
    <t>SZK00JMMFQEK</t>
  </si>
  <si>
    <t>FT26202XPKPG</t>
  </si>
  <si>
    <t>SZ000JWEQA31</t>
  </si>
  <si>
    <t>FT26202FZMMC</t>
  </si>
  <si>
    <t>SZ400JX2PA03</t>
  </si>
  <si>
    <t>FT26202RNV63</t>
  </si>
  <si>
    <t>SZ800JN6UR4L</t>
  </si>
  <si>
    <t>FT26202RD9NK</t>
  </si>
  <si>
    <t>SZP00JT4ME7J</t>
  </si>
  <si>
    <t>FT26202N42TT</t>
  </si>
  <si>
    <t>SZ200JX2X6T5</t>
  </si>
  <si>
    <t>FT2620271KX6</t>
  </si>
  <si>
    <t>SZ400JNHDX56</t>
  </si>
  <si>
    <t>FT262023ZS56</t>
  </si>
  <si>
    <t>SZW00J98BPUA</t>
  </si>
  <si>
    <t>FT262021F6C6</t>
  </si>
  <si>
    <t>SZ000JECR9JF</t>
  </si>
  <si>
    <t>FT26202H2YX6</t>
  </si>
  <si>
    <t>SZP00JEYDEU0</t>
  </si>
  <si>
    <t>FT26202L61D3</t>
  </si>
  <si>
    <t>SZG00JWSNMCB</t>
  </si>
  <si>
    <t>FT262024C605</t>
  </si>
  <si>
    <t>SZ500JNFRNKN</t>
  </si>
  <si>
    <t>FT26202LFRYN</t>
  </si>
  <si>
    <t>SZ800JKF26H9</t>
  </si>
  <si>
    <t>FT26202M8HCT</t>
  </si>
  <si>
    <t>SZ000JDNX8GA</t>
  </si>
  <si>
    <t>FT262027RZF4</t>
  </si>
  <si>
    <t>SZ300JTC66NS</t>
  </si>
  <si>
    <t>FT26202ZMXS2</t>
  </si>
  <si>
    <t>SZC00JRD22RS</t>
  </si>
  <si>
    <t>FT26202C9CJ3</t>
  </si>
  <si>
    <t>SZ300JXTH5PF</t>
  </si>
  <si>
    <t>FT26202YZVYN</t>
  </si>
  <si>
    <t>SZH00JME6FDN</t>
  </si>
  <si>
    <t>FT262020JNVJ</t>
  </si>
  <si>
    <t>SZC00JRAXC3S</t>
  </si>
  <si>
    <t>FT262027MR5J</t>
  </si>
  <si>
    <t>SZJ00J2GGWKD</t>
  </si>
  <si>
    <t>FT26202LG038</t>
  </si>
  <si>
    <t>SZ000KDANJNC</t>
  </si>
  <si>
    <t>FT2620291FMX</t>
  </si>
  <si>
    <t>SZH00JXW4LNG</t>
  </si>
  <si>
    <t>FT262025MLMN</t>
  </si>
  <si>
    <t>SZ500JX4F8BA</t>
  </si>
  <si>
    <t>FT26202MSSZ8</t>
  </si>
  <si>
    <t>SZR00JK5WQJX</t>
  </si>
  <si>
    <t>FT26202W2439</t>
  </si>
  <si>
    <t>SZB00JYN7ED1</t>
  </si>
  <si>
    <t>FT26202B681X</t>
  </si>
  <si>
    <t>SZC00JJR4NME</t>
  </si>
  <si>
    <t>FT26202N5Q5M</t>
  </si>
  <si>
    <t>SZF00JU1CKAU</t>
  </si>
  <si>
    <t>FT26202NSVQ7</t>
  </si>
  <si>
    <t>SZX00JFY184R</t>
  </si>
  <si>
    <t>FT26202LFV26</t>
  </si>
  <si>
    <t>SZG00J4SD5V9</t>
  </si>
  <si>
    <t>FT26202NFL99</t>
  </si>
  <si>
    <t>SZ000JWP79TK</t>
  </si>
  <si>
    <t>FT26202X5Z2D</t>
  </si>
  <si>
    <t>SZP00JKNAZN8</t>
  </si>
  <si>
    <t>FT262024ZHH5</t>
  </si>
  <si>
    <t>SZ000JTFHLKV</t>
  </si>
  <si>
    <t>FT26202395K5</t>
  </si>
  <si>
    <t>20144628603</t>
  </si>
  <si>
    <t>FT26202D39YX</t>
  </si>
  <si>
    <t>SZS00JWGF04W</t>
  </si>
  <si>
    <t>FT26202VZC11</t>
  </si>
  <si>
    <t>SZD00JK3R89L</t>
  </si>
  <si>
    <t>FT262025RZC8</t>
  </si>
  <si>
    <t>SZ900JWKKBW6</t>
  </si>
  <si>
    <t>FT26202NRK2G</t>
  </si>
  <si>
    <t>SZP00JXG8W5K</t>
  </si>
  <si>
    <t>FT262025G8DT</t>
  </si>
  <si>
    <t>SZV00JXU9640</t>
  </si>
  <si>
    <t>FT26202YRKRB</t>
  </si>
  <si>
    <t>SZU00JXYM7DB</t>
  </si>
  <si>
    <t>FT262027XVCF</t>
  </si>
  <si>
    <t>SZU00JTGBUAC</t>
  </si>
  <si>
    <t>FT262028L1ZS</t>
  </si>
  <si>
    <t>SZB00JKKSK02</t>
  </si>
  <si>
    <t>FT26202XCWDQ</t>
  </si>
  <si>
    <t xml:space="preserve"> </t>
  </si>
  <si>
    <t>FT26202B5LN2</t>
  </si>
  <si>
    <t>SZG00JTJ4EXM</t>
  </si>
  <si>
    <t>FT26202JVPVZ</t>
  </si>
  <si>
    <t>SZY00JEMMLQ2</t>
  </si>
  <si>
    <t>FT26202W89PH</t>
  </si>
  <si>
    <t>SZC00JJDNMYA</t>
  </si>
  <si>
    <t>FT26202Z8T9M</t>
  </si>
  <si>
    <t>SZU00JW219MV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</si>
</sst>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tabSelected="1" workbookViewId="0">
      <pane ySplit="1" topLeftCell="A2" activePane="bottomLeft" state="frozen"/>
      <selection pane="bottomLeft" sqref="A1:XFD1"/>
    </sheetView>
  </sheetViews>
  <sheetFormatPr defaultRowHeight="14.45"/>
  <cols>
    <col min="1" max="1" width="13.85546875" bestFit="1" customWidth="1"/>
    <col min="2" max="2" width="18.7109375" bestFit="1" customWidth="1"/>
    <col min="3" max="3" width="14.42578125" bestFit="1" customWidth="1"/>
    <col min="4" max="4" width="14.42578125" style="5" customWidth="1"/>
    <col min="5" max="5" width="11.28515625" bestFit="1" customWidth="1"/>
  </cols>
  <sheetData>
    <row r="1" spans="1:8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5">
        <f>VLOOKUP(C2,SQL!$B$2:$C$68,2,FALSE)</f>
        <v>876202472971</v>
      </c>
      <c r="E2" t="s">
        <v>11</v>
      </c>
      <c r="F2" s="1">
        <v>0</v>
      </c>
      <c r="G2" s="1">
        <v>10000</v>
      </c>
      <c r="H2" s="1">
        <v>1171600</v>
      </c>
    </row>
    <row r="3" spans="1:8">
      <c r="A3" t="s">
        <v>8</v>
      </c>
      <c r="B3" t="s">
        <v>12</v>
      </c>
      <c r="C3" t="s">
        <v>13</v>
      </c>
      <c r="D3" s="5">
        <f>VLOOKUP(C3,SQL!$B$2:$C$68,2,FALSE)</f>
        <v>886202887583</v>
      </c>
      <c r="E3" t="s">
        <v>11</v>
      </c>
      <c r="F3" s="1">
        <v>0</v>
      </c>
      <c r="G3" s="1">
        <v>10000</v>
      </c>
      <c r="H3" s="1">
        <v>1181600</v>
      </c>
    </row>
    <row r="4" spans="1:8">
      <c r="A4" t="s">
        <v>8</v>
      </c>
      <c r="B4" t="s">
        <v>14</v>
      </c>
      <c r="C4" t="s">
        <v>15</v>
      </c>
      <c r="D4" s="5">
        <f>VLOOKUP(C4,SQL!$B$2:$C$68,2,FALSE)</f>
        <v>886202847345</v>
      </c>
      <c r="E4" t="s">
        <v>11</v>
      </c>
      <c r="F4" s="1">
        <v>0</v>
      </c>
      <c r="G4" s="1">
        <v>30000</v>
      </c>
      <c r="H4" s="1">
        <v>1211600</v>
      </c>
    </row>
    <row r="5" spans="1:8">
      <c r="A5" t="s">
        <v>8</v>
      </c>
      <c r="B5" t="s">
        <v>16</v>
      </c>
      <c r="C5" t="s">
        <v>17</v>
      </c>
      <c r="D5" s="5">
        <f>VLOOKUP(C5,SQL!$B$2:$C$68,2,FALSE)</f>
        <v>886202891250</v>
      </c>
      <c r="E5" t="s">
        <v>11</v>
      </c>
      <c r="F5" s="1">
        <v>0</v>
      </c>
      <c r="G5" s="1">
        <v>30000</v>
      </c>
      <c r="H5" s="1">
        <v>1241600</v>
      </c>
    </row>
    <row r="6" spans="1:8">
      <c r="A6" t="s">
        <v>8</v>
      </c>
      <c r="B6" t="s">
        <v>18</v>
      </c>
      <c r="C6" t="s">
        <v>19</v>
      </c>
      <c r="D6" s="5">
        <f>VLOOKUP(C6,SQL!$B$2:$C$68,2,FALSE)</f>
        <v>886202784198</v>
      </c>
      <c r="E6" t="s">
        <v>11</v>
      </c>
      <c r="F6" s="1">
        <v>0</v>
      </c>
      <c r="G6" s="1">
        <v>500</v>
      </c>
      <c r="H6" s="1">
        <v>82500</v>
      </c>
    </row>
    <row r="7" spans="1:8">
      <c r="A7" t="s">
        <v>8</v>
      </c>
      <c r="B7" t="s">
        <v>20</v>
      </c>
      <c r="C7" t="s">
        <v>21</v>
      </c>
      <c r="D7" s="5">
        <f>VLOOKUP(C7,SQL!$B$2:$C$68,2,FALSE)</f>
        <v>886202297361</v>
      </c>
      <c r="E7" t="s">
        <v>11</v>
      </c>
      <c r="F7" s="1">
        <v>0</v>
      </c>
      <c r="G7" s="1">
        <v>10000</v>
      </c>
      <c r="H7" s="1">
        <v>92500</v>
      </c>
    </row>
    <row r="8" spans="1:8">
      <c r="A8" t="s">
        <v>8</v>
      </c>
      <c r="B8" t="s">
        <v>22</v>
      </c>
      <c r="C8" t="s">
        <v>23</v>
      </c>
      <c r="D8" s="5">
        <f>VLOOKUP(C8,SQL!$B$2:$C$68,2,FALSE)</f>
        <v>886202122200</v>
      </c>
      <c r="E8" t="s">
        <v>11</v>
      </c>
      <c r="F8" s="1">
        <v>0</v>
      </c>
      <c r="G8" s="1">
        <v>500</v>
      </c>
      <c r="H8" s="1">
        <v>93000</v>
      </c>
    </row>
    <row r="9" spans="1:8">
      <c r="A9" t="s">
        <v>8</v>
      </c>
      <c r="B9" t="s">
        <v>24</v>
      </c>
      <c r="C9" t="s">
        <v>25</v>
      </c>
      <c r="D9" s="5">
        <f>VLOOKUP(C9,SQL!$B$2:$C$68,2,FALSE)</f>
        <v>886202452791</v>
      </c>
      <c r="E9" t="s">
        <v>11</v>
      </c>
      <c r="F9" s="1">
        <v>0</v>
      </c>
      <c r="G9" s="1">
        <v>3000</v>
      </c>
      <c r="H9" s="1">
        <v>96000</v>
      </c>
    </row>
    <row r="10" spans="1:8">
      <c r="A10" t="s">
        <v>8</v>
      </c>
      <c r="B10" t="s">
        <v>26</v>
      </c>
      <c r="C10" t="s">
        <v>27</v>
      </c>
      <c r="D10" s="5">
        <f>VLOOKUP(C10,SQL!$B$2:$C$68,2,FALSE)</f>
        <v>886202021556</v>
      </c>
      <c r="E10" t="s">
        <v>11</v>
      </c>
      <c r="F10" s="1">
        <v>0</v>
      </c>
      <c r="G10" s="1">
        <v>500</v>
      </c>
      <c r="H10" s="1">
        <v>96500</v>
      </c>
    </row>
    <row r="11" spans="1:8">
      <c r="A11" t="s">
        <v>8</v>
      </c>
      <c r="B11" t="s">
        <v>28</v>
      </c>
      <c r="C11" t="s">
        <v>29</v>
      </c>
      <c r="D11" s="5">
        <f>VLOOKUP(C11,SQL!$B$2:$C$68,2,FALSE)</f>
        <v>886202853997</v>
      </c>
      <c r="E11" t="s">
        <v>11</v>
      </c>
      <c r="F11" s="1">
        <v>0</v>
      </c>
      <c r="G11" s="1">
        <v>500</v>
      </c>
      <c r="H11" s="1">
        <v>97000</v>
      </c>
    </row>
    <row r="12" spans="1:8">
      <c r="A12" t="s">
        <v>8</v>
      </c>
      <c r="B12" t="s">
        <v>30</v>
      </c>
      <c r="C12" t="s">
        <v>31</v>
      </c>
      <c r="D12" s="5">
        <f>VLOOKUP(C12,SQL!$B$2:$C$68,2,FALSE)</f>
        <v>886202532897</v>
      </c>
      <c r="E12" t="s">
        <v>11</v>
      </c>
      <c r="F12" s="1">
        <v>0</v>
      </c>
      <c r="G12" s="1">
        <v>500</v>
      </c>
      <c r="H12" s="1">
        <v>97500</v>
      </c>
    </row>
    <row r="13" spans="1:8">
      <c r="A13" t="s">
        <v>8</v>
      </c>
      <c r="B13" t="s">
        <v>32</v>
      </c>
      <c r="C13" t="s">
        <v>33</v>
      </c>
      <c r="D13" s="5">
        <f>VLOOKUP(C13,SQL!$B$2:$C$68,2,FALSE)</f>
        <v>886202171558</v>
      </c>
      <c r="E13" t="s">
        <v>11</v>
      </c>
      <c r="F13" s="1">
        <v>0</v>
      </c>
      <c r="G13" s="1">
        <v>25000</v>
      </c>
      <c r="H13" s="1">
        <v>122500</v>
      </c>
    </row>
    <row r="14" spans="1:8">
      <c r="A14" t="s">
        <v>8</v>
      </c>
      <c r="B14" t="s">
        <v>34</v>
      </c>
      <c r="C14" t="s">
        <v>35</v>
      </c>
      <c r="D14" s="5">
        <f>VLOOKUP(C14,SQL!$B$2:$C$68,2,FALSE)</f>
        <v>886202464165</v>
      </c>
      <c r="E14" t="s">
        <v>11</v>
      </c>
      <c r="F14" s="1">
        <v>0</v>
      </c>
      <c r="G14" s="1">
        <v>500</v>
      </c>
      <c r="H14" s="1">
        <v>123000</v>
      </c>
    </row>
    <row r="15" spans="1:8">
      <c r="A15" t="s">
        <v>8</v>
      </c>
      <c r="B15" t="s">
        <v>36</v>
      </c>
      <c r="C15" t="s">
        <v>37</v>
      </c>
      <c r="D15" s="5">
        <f>VLOOKUP(C15,SQL!$B$2:$C$68,2,FALSE)</f>
        <v>886202702004</v>
      </c>
      <c r="E15" t="s">
        <v>11</v>
      </c>
      <c r="F15" s="1">
        <v>0</v>
      </c>
      <c r="G15" s="1">
        <v>500</v>
      </c>
      <c r="H15" s="1">
        <v>123500</v>
      </c>
    </row>
    <row r="16" spans="1:8">
      <c r="A16" t="s">
        <v>8</v>
      </c>
      <c r="B16" t="s">
        <v>38</v>
      </c>
      <c r="C16" t="s">
        <v>39</v>
      </c>
      <c r="D16" s="5">
        <f>VLOOKUP(C16,SQL!$B$2:$C$68,2,FALSE)</f>
        <v>886202333913</v>
      </c>
      <c r="E16" t="s">
        <v>11</v>
      </c>
      <c r="F16" s="1">
        <v>0</v>
      </c>
      <c r="G16" s="1">
        <v>29000</v>
      </c>
      <c r="H16" s="1">
        <v>152500</v>
      </c>
    </row>
    <row r="17" spans="1:8">
      <c r="A17" t="s">
        <v>8</v>
      </c>
      <c r="B17" t="s">
        <v>40</v>
      </c>
      <c r="C17" t="s">
        <v>41</v>
      </c>
      <c r="D17" s="5">
        <f>VLOOKUP(C17,SQL!$B$2:$C$68,2,FALSE)</f>
        <v>886202391908</v>
      </c>
      <c r="E17" t="s">
        <v>11</v>
      </c>
      <c r="F17" s="1">
        <v>0</v>
      </c>
      <c r="G17" s="1">
        <v>15000</v>
      </c>
      <c r="H17" s="1">
        <v>167500</v>
      </c>
    </row>
    <row r="18" spans="1:8">
      <c r="A18" t="s">
        <v>8</v>
      </c>
      <c r="B18" t="s">
        <v>42</v>
      </c>
      <c r="C18" t="s">
        <v>43</v>
      </c>
      <c r="D18" s="5">
        <f>VLOOKUP(C18,SQL!$B$2:$C$68,2,FALSE)</f>
        <v>886202951382</v>
      </c>
      <c r="E18" t="s">
        <v>11</v>
      </c>
      <c r="F18" s="1">
        <v>0</v>
      </c>
      <c r="G18" s="1">
        <v>5000</v>
      </c>
      <c r="H18" s="1">
        <v>172500</v>
      </c>
    </row>
    <row r="19" spans="1:8">
      <c r="A19" t="s">
        <v>8</v>
      </c>
      <c r="B19" t="s">
        <v>44</v>
      </c>
      <c r="C19" t="s">
        <v>45</v>
      </c>
      <c r="D19" s="5">
        <f>VLOOKUP(C19,SQL!$B$2:$C$68,2,FALSE)</f>
        <v>886202296920</v>
      </c>
      <c r="E19" t="s">
        <v>11</v>
      </c>
      <c r="F19" s="1">
        <v>0</v>
      </c>
      <c r="G19" s="1">
        <v>500</v>
      </c>
      <c r="H19" s="1">
        <v>173000</v>
      </c>
    </row>
    <row r="20" spans="1:8">
      <c r="A20" t="s">
        <v>8</v>
      </c>
      <c r="B20" t="s">
        <v>46</v>
      </c>
      <c r="C20" t="s">
        <v>47</v>
      </c>
      <c r="D20" s="5">
        <f>VLOOKUP(C20,SQL!$B$2:$C$68,2,FALSE)</f>
        <v>886202552128</v>
      </c>
      <c r="E20" t="s">
        <v>11</v>
      </c>
      <c r="F20" s="1">
        <v>0</v>
      </c>
      <c r="G20" s="1">
        <v>500</v>
      </c>
      <c r="H20" s="1">
        <v>173500</v>
      </c>
    </row>
    <row r="21" spans="1:8">
      <c r="A21" t="s">
        <v>8</v>
      </c>
      <c r="B21" t="s">
        <v>48</v>
      </c>
      <c r="C21" t="s">
        <v>49</v>
      </c>
      <c r="D21" s="5">
        <f>VLOOKUP(C21,SQL!$B$2:$C$68,2,FALSE)</f>
        <v>886202347978</v>
      </c>
      <c r="E21" t="s">
        <v>11</v>
      </c>
      <c r="F21" s="1">
        <v>0</v>
      </c>
      <c r="G21" s="1">
        <v>25000</v>
      </c>
      <c r="H21" s="1">
        <v>198500</v>
      </c>
    </row>
    <row r="22" spans="1:8">
      <c r="A22" t="s">
        <v>8</v>
      </c>
      <c r="B22" t="s">
        <v>50</v>
      </c>
      <c r="C22" t="s">
        <v>51</v>
      </c>
      <c r="D22" s="5">
        <f>VLOOKUP(C22,SQL!$B$2:$C$68,2,FALSE)</f>
        <v>886202322701</v>
      </c>
      <c r="E22" t="s">
        <v>11</v>
      </c>
      <c r="F22" s="1">
        <v>0</v>
      </c>
      <c r="G22" s="1">
        <v>10000</v>
      </c>
      <c r="H22" s="1">
        <v>208500</v>
      </c>
    </row>
    <row r="23" spans="1:8">
      <c r="A23" t="s">
        <v>8</v>
      </c>
      <c r="B23" t="s">
        <v>52</v>
      </c>
      <c r="C23" t="s">
        <v>53</v>
      </c>
      <c r="D23" s="5">
        <f>VLOOKUP(C23,SQL!$B$2:$C$68,2,FALSE)</f>
        <v>886202933054</v>
      </c>
      <c r="E23" t="s">
        <v>11</v>
      </c>
      <c r="F23" s="1">
        <v>0</v>
      </c>
      <c r="G23" s="1">
        <v>500</v>
      </c>
      <c r="H23" s="1">
        <v>209000</v>
      </c>
    </row>
    <row r="24" spans="1:8">
      <c r="A24" t="s">
        <v>8</v>
      </c>
      <c r="B24" t="s">
        <v>54</v>
      </c>
      <c r="C24" t="s">
        <v>55</v>
      </c>
      <c r="D24" s="5">
        <f>VLOOKUP(C24,SQL!$B$2:$C$68,2,FALSE)</f>
        <v>876202574301</v>
      </c>
      <c r="E24" t="s">
        <v>11</v>
      </c>
      <c r="F24" s="1">
        <v>0</v>
      </c>
      <c r="G24" s="1">
        <v>20000</v>
      </c>
      <c r="H24" s="1">
        <v>229000</v>
      </c>
    </row>
    <row r="25" spans="1:8">
      <c r="A25" t="s">
        <v>8</v>
      </c>
      <c r="B25" t="s">
        <v>56</v>
      </c>
      <c r="C25" t="s">
        <v>57</v>
      </c>
      <c r="D25" s="5">
        <f>VLOOKUP(C25,SQL!$B$2:$C$68,2,FALSE)</f>
        <v>886202531838</v>
      </c>
      <c r="E25" t="s">
        <v>11</v>
      </c>
      <c r="F25" s="1">
        <v>0</v>
      </c>
      <c r="G25" s="1">
        <v>500</v>
      </c>
      <c r="H25" s="1">
        <v>229500</v>
      </c>
    </row>
    <row r="26" spans="1:8">
      <c r="A26" t="s">
        <v>8</v>
      </c>
      <c r="B26" t="s">
        <v>58</v>
      </c>
      <c r="C26" t="s">
        <v>59</v>
      </c>
      <c r="D26" s="5">
        <f>VLOOKUP(C26,SQL!$B$2:$C$68,2,FALSE)</f>
        <v>886202160515</v>
      </c>
      <c r="E26" t="s">
        <v>11</v>
      </c>
      <c r="F26" s="1">
        <v>0</v>
      </c>
      <c r="G26" s="1">
        <v>500</v>
      </c>
      <c r="H26" s="1">
        <v>230000</v>
      </c>
    </row>
    <row r="27" spans="1:8">
      <c r="A27" t="s">
        <v>8</v>
      </c>
      <c r="B27" t="s">
        <v>60</v>
      </c>
      <c r="C27" t="s">
        <v>61</v>
      </c>
      <c r="D27" s="5">
        <f>VLOOKUP(C27,SQL!$B$2:$C$68,2,FALSE)</f>
        <v>886202200709</v>
      </c>
      <c r="E27" t="s">
        <v>11</v>
      </c>
      <c r="F27" s="1">
        <v>0</v>
      </c>
      <c r="G27" s="1">
        <v>25000</v>
      </c>
      <c r="H27" s="1">
        <v>255000</v>
      </c>
    </row>
    <row r="28" spans="1:8">
      <c r="A28" t="s">
        <v>8</v>
      </c>
      <c r="B28" t="s">
        <v>62</v>
      </c>
      <c r="C28" t="s">
        <v>63</v>
      </c>
      <c r="D28" s="5">
        <f>VLOOKUP(C28,SQL!$B$2:$C$68,2,FALSE)</f>
        <v>886202443040</v>
      </c>
      <c r="E28" t="s">
        <v>11</v>
      </c>
      <c r="F28" s="1">
        <v>0</v>
      </c>
      <c r="G28" s="1">
        <v>500</v>
      </c>
      <c r="H28" s="1">
        <v>255500</v>
      </c>
    </row>
    <row r="29" spans="1:8">
      <c r="A29" t="s">
        <v>8</v>
      </c>
      <c r="B29" t="s">
        <v>64</v>
      </c>
      <c r="C29" t="s">
        <v>65</v>
      </c>
      <c r="D29" s="5">
        <f>VLOOKUP(C29,SQL!$B$2:$C$68,2,FALSE)</f>
        <v>886202460096</v>
      </c>
      <c r="E29" t="s">
        <v>11</v>
      </c>
      <c r="F29" s="1">
        <v>0</v>
      </c>
      <c r="G29" s="1">
        <v>500</v>
      </c>
      <c r="H29" s="1">
        <v>256000</v>
      </c>
    </row>
    <row r="30" spans="1:8">
      <c r="A30" t="s">
        <v>8</v>
      </c>
      <c r="B30" t="s">
        <v>66</v>
      </c>
      <c r="C30" t="s">
        <v>67</v>
      </c>
      <c r="D30" s="5">
        <f>VLOOKUP(C30,SQL!$B$2:$C$68,2,FALSE)</f>
        <v>886202186356</v>
      </c>
      <c r="E30" t="s">
        <v>11</v>
      </c>
      <c r="F30" s="1">
        <v>0</v>
      </c>
      <c r="G30" s="1">
        <v>500</v>
      </c>
      <c r="H30" s="1">
        <v>256500</v>
      </c>
    </row>
    <row r="31" spans="1:8">
      <c r="A31" t="s">
        <v>8</v>
      </c>
      <c r="B31" t="s">
        <v>68</v>
      </c>
      <c r="C31" t="s">
        <v>69</v>
      </c>
      <c r="D31" s="5">
        <f>VLOOKUP(C31,SQL!$B$2:$C$68,2,FALSE)</f>
        <v>886202331208</v>
      </c>
      <c r="E31" t="s">
        <v>11</v>
      </c>
      <c r="F31" s="1">
        <v>0</v>
      </c>
      <c r="G31" s="1">
        <v>15000</v>
      </c>
      <c r="H31" s="1">
        <v>271500</v>
      </c>
    </row>
    <row r="32" spans="1:8">
      <c r="A32" t="s">
        <v>8</v>
      </c>
      <c r="B32" t="s">
        <v>70</v>
      </c>
      <c r="C32" t="s">
        <v>71</v>
      </c>
      <c r="D32" s="5">
        <f>VLOOKUP(C32,SQL!$B$2:$C$68,2,FALSE)</f>
        <v>886202227960</v>
      </c>
      <c r="E32" t="s">
        <v>11</v>
      </c>
      <c r="F32" s="1">
        <v>0</v>
      </c>
      <c r="G32" s="1">
        <v>500</v>
      </c>
      <c r="H32" s="1">
        <v>272000</v>
      </c>
    </row>
    <row r="33" spans="1:8">
      <c r="A33" t="s">
        <v>8</v>
      </c>
      <c r="B33" t="s">
        <v>72</v>
      </c>
      <c r="C33" t="s">
        <v>73</v>
      </c>
      <c r="D33" s="5">
        <f>VLOOKUP(C33,SQL!$B$2:$C$68,2,FALSE)</f>
        <v>886202047729</v>
      </c>
      <c r="E33" t="s">
        <v>11</v>
      </c>
      <c r="F33" s="1">
        <v>0</v>
      </c>
      <c r="G33" s="1">
        <v>15000</v>
      </c>
      <c r="H33" s="1">
        <v>287000</v>
      </c>
    </row>
    <row r="34" spans="1:8">
      <c r="A34" t="s">
        <v>8</v>
      </c>
      <c r="B34" t="s">
        <v>74</v>
      </c>
      <c r="C34" t="s">
        <v>75</v>
      </c>
      <c r="D34" s="5">
        <f>VLOOKUP(C34,SQL!$B$2:$C$68,2,FALSE)</f>
        <v>876202587071</v>
      </c>
      <c r="E34" t="s">
        <v>11</v>
      </c>
      <c r="F34" s="1">
        <v>0</v>
      </c>
      <c r="G34" s="1">
        <v>10000</v>
      </c>
      <c r="H34" s="1">
        <v>297000</v>
      </c>
    </row>
    <row r="35" spans="1:8">
      <c r="A35" t="s">
        <v>8</v>
      </c>
      <c r="B35" t="s">
        <v>76</v>
      </c>
      <c r="C35" t="s">
        <v>77</v>
      </c>
      <c r="D35" s="5">
        <f>VLOOKUP(C35,SQL!$B$2:$C$68,2,FALSE)</f>
        <v>886202562085</v>
      </c>
      <c r="E35" t="s">
        <v>11</v>
      </c>
      <c r="F35" s="1">
        <v>0</v>
      </c>
      <c r="G35" s="1">
        <v>500</v>
      </c>
      <c r="H35" s="1">
        <v>297500</v>
      </c>
    </row>
    <row r="36" spans="1:8">
      <c r="A36" t="s">
        <v>8</v>
      </c>
      <c r="B36" t="s">
        <v>78</v>
      </c>
      <c r="C36" t="s">
        <v>79</v>
      </c>
      <c r="D36" s="5">
        <f>VLOOKUP(C36,SQL!$B$2:$C$68,2,FALSE)</f>
        <v>886202640764</v>
      </c>
      <c r="E36" t="s">
        <v>11</v>
      </c>
      <c r="F36" s="1">
        <v>0</v>
      </c>
      <c r="G36" s="1">
        <v>500</v>
      </c>
      <c r="H36" s="1">
        <v>298000</v>
      </c>
    </row>
    <row r="37" spans="1:8">
      <c r="A37" t="s">
        <v>8</v>
      </c>
      <c r="B37" t="s">
        <v>80</v>
      </c>
      <c r="C37" t="s">
        <v>81</v>
      </c>
      <c r="D37" s="5">
        <f>VLOOKUP(C37,SQL!$B$2:$C$68,2,FALSE)</f>
        <v>886202627074</v>
      </c>
      <c r="E37" t="s">
        <v>11</v>
      </c>
      <c r="F37" s="1">
        <v>0</v>
      </c>
      <c r="G37" s="1">
        <v>500</v>
      </c>
      <c r="H37" s="1">
        <v>298500</v>
      </c>
    </row>
    <row r="38" spans="1:8">
      <c r="A38" t="s">
        <v>8</v>
      </c>
      <c r="B38" t="s">
        <v>82</v>
      </c>
      <c r="C38" t="s">
        <v>83</v>
      </c>
      <c r="D38" s="5">
        <f>VLOOKUP(C38,SQL!$B$2:$C$68,2,FALSE)</f>
        <v>886202848347</v>
      </c>
      <c r="E38" t="s">
        <v>11</v>
      </c>
      <c r="F38" s="1">
        <v>0</v>
      </c>
      <c r="G38" s="1">
        <v>20000</v>
      </c>
      <c r="H38" s="1">
        <v>318500</v>
      </c>
    </row>
    <row r="39" spans="1:8">
      <c r="A39" t="s">
        <v>8</v>
      </c>
      <c r="B39" t="s">
        <v>84</v>
      </c>
      <c r="C39" t="s">
        <v>85</v>
      </c>
      <c r="D39" s="5">
        <f>VLOOKUP(C39,SQL!$B$2:$C$68,2,FALSE)</f>
        <v>886202982526</v>
      </c>
      <c r="E39" t="s">
        <v>11</v>
      </c>
      <c r="F39" s="1">
        <v>0</v>
      </c>
      <c r="G39" s="1">
        <v>500</v>
      </c>
      <c r="H39" s="1">
        <v>319000</v>
      </c>
    </row>
    <row r="40" spans="1:8">
      <c r="A40" t="s">
        <v>8</v>
      </c>
      <c r="B40" t="s">
        <v>86</v>
      </c>
      <c r="C40" t="s">
        <v>87</v>
      </c>
      <c r="D40" s="5">
        <f>VLOOKUP(C40,SQL!$B$2:$C$68,2,FALSE)</f>
        <v>886202701901</v>
      </c>
      <c r="E40" t="s">
        <v>11</v>
      </c>
      <c r="F40" s="1">
        <v>0</v>
      </c>
      <c r="G40" s="1">
        <v>15000</v>
      </c>
      <c r="H40" s="1">
        <v>334000</v>
      </c>
    </row>
    <row r="41" spans="1:8">
      <c r="A41" t="s">
        <v>8</v>
      </c>
      <c r="B41" t="s">
        <v>88</v>
      </c>
      <c r="C41" t="s">
        <v>89</v>
      </c>
      <c r="D41" s="5">
        <f>VLOOKUP(C41,SQL!$B$2:$C$68,2,FALSE)</f>
        <v>886202391342</v>
      </c>
      <c r="E41" t="s">
        <v>11</v>
      </c>
      <c r="F41" s="1">
        <v>0</v>
      </c>
      <c r="G41" s="1">
        <v>10000</v>
      </c>
      <c r="H41" s="1">
        <v>344000</v>
      </c>
    </row>
    <row r="42" spans="1:8">
      <c r="A42" t="s">
        <v>8</v>
      </c>
      <c r="B42" t="s">
        <v>90</v>
      </c>
      <c r="C42" t="s">
        <v>91</v>
      </c>
      <c r="D42" s="5">
        <f>VLOOKUP(C42,SQL!$B$2:$C$68,2,FALSE)</f>
        <v>886202155633</v>
      </c>
      <c r="E42" t="s">
        <v>11</v>
      </c>
      <c r="F42" s="1">
        <v>0</v>
      </c>
      <c r="G42" s="1">
        <v>10000</v>
      </c>
      <c r="H42" s="1">
        <v>354000</v>
      </c>
    </row>
    <row r="43" spans="1:8">
      <c r="A43" t="s">
        <v>8</v>
      </c>
      <c r="B43" t="s">
        <v>92</v>
      </c>
      <c r="C43" t="s">
        <v>93</v>
      </c>
      <c r="D43" s="5">
        <f>VLOOKUP(C43,SQL!$B$2:$C$68,2,FALSE)</f>
        <v>876202475458</v>
      </c>
      <c r="E43" t="s">
        <v>11</v>
      </c>
      <c r="F43" s="1">
        <v>0</v>
      </c>
      <c r="G43" s="1">
        <v>20000</v>
      </c>
      <c r="H43" s="1">
        <v>374000</v>
      </c>
    </row>
    <row r="44" spans="1:8">
      <c r="A44" t="s">
        <v>8</v>
      </c>
      <c r="B44" t="s">
        <v>94</v>
      </c>
      <c r="C44" t="s">
        <v>95</v>
      </c>
      <c r="D44" s="5">
        <f>VLOOKUP(C44,SQL!$B$2:$C$68,2,FALSE)</f>
        <v>886202260310</v>
      </c>
      <c r="E44" t="s">
        <v>11</v>
      </c>
      <c r="F44" s="1">
        <v>0</v>
      </c>
      <c r="G44" s="1">
        <v>500</v>
      </c>
      <c r="H44" s="1">
        <v>374500</v>
      </c>
    </row>
    <row r="45" spans="1:8">
      <c r="A45" t="s">
        <v>8</v>
      </c>
      <c r="B45" t="s">
        <v>96</v>
      </c>
      <c r="C45" t="s">
        <v>97</v>
      </c>
      <c r="D45" s="5">
        <f>VLOOKUP(C45,SQL!$B$2:$C$68,2,FALSE)</f>
        <v>886202451834</v>
      </c>
      <c r="E45" t="s">
        <v>11</v>
      </c>
      <c r="F45" s="1">
        <v>0</v>
      </c>
      <c r="G45" s="1">
        <v>25000</v>
      </c>
      <c r="H45" s="1">
        <v>399500</v>
      </c>
    </row>
    <row r="46" spans="1:8">
      <c r="A46" t="s">
        <v>8</v>
      </c>
      <c r="B46" t="s">
        <v>98</v>
      </c>
      <c r="C46" t="s">
        <v>99</v>
      </c>
      <c r="D46" s="5">
        <v>886202664986</v>
      </c>
      <c r="E46" t="s">
        <v>11</v>
      </c>
      <c r="F46" s="1">
        <v>0</v>
      </c>
      <c r="G46" s="1">
        <v>3000</v>
      </c>
      <c r="H46" s="1">
        <v>402500</v>
      </c>
    </row>
    <row r="47" spans="1:8">
      <c r="A47" t="s">
        <v>8</v>
      </c>
      <c r="B47" t="s">
        <v>100</v>
      </c>
      <c r="C47" t="s">
        <v>101</v>
      </c>
      <c r="D47" s="5">
        <f>VLOOKUP(C47,SQL!$B$2:$C$68,2,FALSE)</f>
        <v>886202515395</v>
      </c>
      <c r="E47" t="s">
        <v>11</v>
      </c>
      <c r="F47" s="1">
        <v>0</v>
      </c>
      <c r="G47" s="1">
        <v>500</v>
      </c>
      <c r="H47" s="1">
        <v>403000</v>
      </c>
    </row>
    <row r="48" spans="1:8">
      <c r="A48" t="s">
        <v>8</v>
      </c>
      <c r="B48" t="s">
        <v>102</v>
      </c>
      <c r="C48" t="s">
        <v>103</v>
      </c>
      <c r="D48" s="5">
        <f>VLOOKUP(C48,SQL!$B$2:$C$68,2,FALSE)</f>
        <v>886202595285</v>
      </c>
      <c r="E48" t="s">
        <v>11</v>
      </c>
      <c r="F48" s="1">
        <v>0</v>
      </c>
      <c r="G48" s="1">
        <v>500</v>
      </c>
      <c r="H48" s="1">
        <v>403500</v>
      </c>
    </row>
    <row r="49" spans="1:8">
      <c r="A49" t="s">
        <v>8</v>
      </c>
      <c r="B49" t="s">
        <v>104</v>
      </c>
      <c r="C49" t="s">
        <v>105</v>
      </c>
      <c r="D49" s="5">
        <f>VLOOKUP(C49,SQL!$B$2:$C$68,2,FALSE)</f>
        <v>876202718999</v>
      </c>
      <c r="E49" t="s">
        <v>11</v>
      </c>
      <c r="F49" s="1">
        <v>0</v>
      </c>
      <c r="G49" s="1">
        <v>20000</v>
      </c>
      <c r="H49" s="1">
        <v>423500</v>
      </c>
    </row>
    <row r="50" spans="1:8">
      <c r="A50" t="s">
        <v>8</v>
      </c>
      <c r="B50" t="s">
        <v>106</v>
      </c>
      <c r="C50" t="s">
        <v>107</v>
      </c>
      <c r="D50" s="5">
        <f>VLOOKUP(C50,SQL!$B$2:$C$68,2,FALSE)</f>
        <v>886202366105</v>
      </c>
      <c r="E50" t="s">
        <v>11</v>
      </c>
      <c r="F50" s="1">
        <v>0</v>
      </c>
      <c r="G50" s="1">
        <v>25000</v>
      </c>
      <c r="H50" s="1">
        <v>448500</v>
      </c>
    </row>
    <row r="51" spans="1:8">
      <c r="A51" t="s">
        <v>8</v>
      </c>
      <c r="B51" t="s">
        <v>108</v>
      </c>
      <c r="C51" t="s">
        <v>109</v>
      </c>
      <c r="D51" s="5">
        <f>VLOOKUP(C51,SQL!$B$2:$C$68,2,FALSE)</f>
        <v>886202083121</v>
      </c>
      <c r="E51" t="s">
        <v>11</v>
      </c>
      <c r="F51" s="1">
        <v>0</v>
      </c>
      <c r="G51" s="1">
        <v>500</v>
      </c>
      <c r="H51" s="1">
        <v>449000</v>
      </c>
    </row>
    <row r="52" spans="1:8">
      <c r="A52" t="s">
        <v>8</v>
      </c>
      <c r="B52" t="s">
        <v>110</v>
      </c>
      <c r="C52" t="s">
        <v>111</v>
      </c>
      <c r="D52" s="5">
        <f>VLOOKUP(C52,SQL!$B$2:$C$68,2,FALSE)</f>
        <v>886202871952</v>
      </c>
      <c r="E52" t="s">
        <v>11</v>
      </c>
      <c r="F52" s="1">
        <v>0</v>
      </c>
      <c r="G52" s="1">
        <v>500</v>
      </c>
      <c r="H52" s="1">
        <v>449500</v>
      </c>
    </row>
    <row r="53" spans="1:8">
      <c r="A53" t="s">
        <v>8</v>
      </c>
      <c r="B53" t="s">
        <v>112</v>
      </c>
      <c r="C53" t="s">
        <v>113</v>
      </c>
      <c r="D53" s="5">
        <f>VLOOKUP(C53,SQL!$B$2:$C$68,2,FALSE)</f>
        <v>886202787619</v>
      </c>
      <c r="E53" t="s">
        <v>11</v>
      </c>
      <c r="F53" s="1">
        <v>0</v>
      </c>
      <c r="G53" s="1">
        <v>500</v>
      </c>
      <c r="H53" s="1">
        <v>450000</v>
      </c>
    </row>
    <row r="54" spans="1:8">
      <c r="A54" t="s">
        <v>8</v>
      </c>
      <c r="B54" t="s">
        <v>114</v>
      </c>
      <c r="C54" t="s">
        <v>115</v>
      </c>
      <c r="D54" s="5">
        <f>VLOOKUP(C54,SQL!$B$2:$C$68,2,FALSE)</f>
        <v>886202658967</v>
      </c>
      <c r="E54" t="s">
        <v>11</v>
      </c>
      <c r="F54" s="1">
        <v>0</v>
      </c>
      <c r="G54" s="1">
        <v>500</v>
      </c>
      <c r="H54" s="1">
        <v>450500</v>
      </c>
    </row>
    <row r="55" spans="1:8">
      <c r="A55" t="s">
        <v>8</v>
      </c>
      <c r="B55" t="s">
        <v>116</v>
      </c>
      <c r="C55" t="s">
        <v>117</v>
      </c>
      <c r="D55" s="5">
        <v>886201388968</v>
      </c>
      <c r="E55" t="s">
        <v>11</v>
      </c>
      <c r="F55" s="1">
        <v>0</v>
      </c>
      <c r="G55" s="1">
        <v>60000</v>
      </c>
      <c r="H55" s="1">
        <v>510500</v>
      </c>
    </row>
    <row r="56" spans="1:8">
      <c r="A56" t="s">
        <v>8</v>
      </c>
      <c r="B56" t="s">
        <v>118</v>
      </c>
      <c r="C56" t="s">
        <v>119</v>
      </c>
      <c r="D56" s="5">
        <f>VLOOKUP(C56,SQL!$B$2:$C$68,2,FALSE)</f>
        <v>886202909775</v>
      </c>
      <c r="E56" t="s">
        <v>11</v>
      </c>
      <c r="F56" s="1">
        <v>0</v>
      </c>
      <c r="G56" s="1">
        <v>500</v>
      </c>
      <c r="H56" s="1">
        <v>511000</v>
      </c>
    </row>
    <row r="57" spans="1:8">
      <c r="A57" t="s">
        <v>8</v>
      </c>
      <c r="B57" t="s">
        <v>120</v>
      </c>
      <c r="C57" t="s">
        <v>121</v>
      </c>
      <c r="D57" s="5">
        <f>VLOOKUP(C57,SQL!$B$2:$C$68,2,FALSE)</f>
        <v>886202728211</v>
      </c>
      <c r="E57" t="s">
        <v>11</v>
      </c>
      <c r="F57" s="1">
        <v>0</v>
      </c>
      <c r="G57" s="1">
        <v>8000</v>
      </c>
      <c r="H57" s="1">
        <v>519000</v>
      </c>
    </row>
    <row r="58" spans="1:8">
      <c r="A58" t="s">
        <v>8</v>
      </c>
      <c r="B58" t="s">
        <v>122</v>
      </c>
      <c r="C58" t="s">
        <v>123</v>
      </c>
      <c r="D58" s="5">
        <f>VLOOKUP(C58,SQL!$B$2:$C$68,2,FALSE)</f>
        <v>886202593924</v>
      </c>
      <c r="E58" t="s">
        <v>11</v>
      </c>
      <c r="F58" s="1">
        <v>0</v>
      </c>
      <c r="G58" s="1">
        <v>3000</v>
      </c>
      <c r="H58" s="1">
        <v>522000</v>
      </c>
    </row>
    <row r="59" spans="1:8">
      <c r="A59" t="s">
        <v>8</v>
      </c>
      <c r="B59" t="s">
        <v>124</v>
      </c>
      <c r="C59" t="s">
        <v>125</v>
      </c>
      <c r="D59" s="5">
        <f>VLOOKUP(C59,SQL!$B$2:$C$68,2,FALSE)</f>
        <v>886202850602</v>
      </c>
      <c r="E59" t="s">
        <v>11</v>
      </c>
      <c r="F59" s="1">
        <v>0</v>
      </c>
      <c r="G59" s="1">
        <v>15000</v>
      </c>
      <c r="H59" s="1">
        <v>537000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68"/>
  <sheetViews>
    <sheetView topLeftCell="A2" workbookViewId="0">
      <selection activeCell="C2" sqref="C2"/>
    </sheetView>
  </sheetViews>
  <sheetFormatPr defaultRowHeight="14.45"/>
  <cols>
    <col min="2" max="2" width="16.85546875" style="3" customWidth="1"/>
    <col min="3" max="3" width="18.7109375" style="5" customWidth="1"/>
  </cols>
  <sheetData>
    <row r="2" spans="2:3">
      <c r="B2" s="2">
        <v>20144628603</v>
      </c>
      <c r="C2" s="4">
        <v>886202664986</v>
      </c>
    </row>
    <row r="3" spans="2:3">
      <c r="B3" s="2" t="s">
        <v>61</v>
      </c>
      <c r="C3" s="4">
        <v>886202200709</v>
      </c>
    </row>
    <row r="4" spans="2:3">
      <c r="B4" s="2" t="s">
        <v>51</v>
      </c>
      <c r="C4" s="4">
        <v>886202322701</v>
      </c>
    </row>
    <row r="5" spans="2:3">
      <c r="B5" s="2" t="s">
        <v>97</v>
      </c>
      <c r="C5" s="4">
        <v>886202451834</v>
      </c>
    </row>
    <row r="6" spans="2:3">
      <c r="B6" s="2" t="s">
        <v>37</v>
      </c>
      <c r="C6" s="4">
        <v>886202702004</v>
      </c>
    </row>
    <row r="7" spans="2:3">
      <c r="B7" s="2" t="s">
        <v>93</v>
      </c>
      <c r="C7" s="4">
        <v>876202475458</v>
      </c>
    </row>
    <row r="8" spans="2:3">
      <c r="B8" s="2" t="s">
        <v>75</v>
      </c>
      <c r="C8" s="4">
        <v>876202587071</v>
      </c>
    </row>
    <row r="9" spans="2:3">
      <c r="B9" s="2" t="s">
        <v>13</v>
      </c>
      <c r="C9" s="4">
        <v>886202887583</v>
      </c>
    </row>
    <row r="10" spans="2:3">
      <c r="B10" s="2" t="s">
        <v>19</v>
      </c>
      <c r="C10" s="4">
        <v>886202784198</v>
      </c>
    </row>
    <row r="11" spans="2:3">
      <c r="B11" s="2" t="s">
        <v>45</v>
      </c>
      <c r="C11" s="4">
        <v>886202296920</v>
      </c>
    </row>
    <row r="12" spans="2:3">
      <c r="B12" s="2">
        <v>20144628603</v>
      </c>
      <c r="C12" s="4">
        <v>886202664986</v>
      </c>
    </row>
    <row r="13" spans="2:3">
      <c r="B13" s="2" t="s">
        <v>61</v>
      </c>
      <c r="C13" s="4">
        <v>886202200709</v>
      </c>
    </row>
    <row r="14" spans="2:3">
      <c r="B14" s="2" t="s">
        <v>51</v>
      </c>
      <c r="C14" s="4">
        <v>886202322701</v>
      </c>
    </row>
    <row r="15" spans="2:3">
      <c r="B15" s="2" t="s">
        <v>97</v>
      </c>
      <c r="C15" s="4">
        <v>886202451834</v>
      </c>
    </row>
    <row r="16" spans="2:3">
      <c r="B16" s="2" t="s">
        <v>37</v>
      </c>
      <c r="C16" s="4">
        <v>886202702004</v>
      </c>
    </row>
    <row r="17" spans="2:3">
      <c r="B17" s="2" t="s">
        <v>93</v>
      </c>
      <c r="C17" s="4">
        <v>876202475458</v>
      </c>
    </row>
    <row r="18" spans="2:3">
      <c r="B18" s="2" t="s">
        <v>75</v>
      </c>
      <c r="C18" s="4">
        <v>876202587071</v>
      </c>
    </row>
    <row r="19" spans="2:3">
      <c r="B19" s="2" t="s">
        <v>13</v>
      </c>
      <c r="C19" s="4">
        <v>886202887583</v>
      </c>
    </row>
    <row r="20" spans="2:3">
      <c r="B20" s="2" t="s">
        <v>19</v>
      </c>
      <c r="C20" s="4">
        <v>886202784198</v>
      </c>
    </row>
    <row r="21" spans="2:3">
      <c r="B21" s="2" t="s">
        <v>45</v>
      </c>
      <c r="C21" s="4">
        <v>886202296920</v>
      </c>
    </row>
    <row r="22" spans="2:3">
      <c r="B22" s="2" t="s">
        <v>63</v>
      </c>
      <c r="C22" s="4">
        <v>886202443040</v>
      </c>
    </row>
    <row r="23" spans="2:3">
      <c r="B23" s="2" t="s">
        <v>67</v>
      </c>
      <c r="C23" s="4">
        <v>886202186356</v>
      </c>
    </row>
    <row r="24" spans="2:3">
      <c r="B24" s="2" t="s">
        <v>47</v>
      </c>
      <c r="C24" s="4">
        <v>886202552128</v>
      </c>
    </row>
    <row r="25" spans="2:3">
      <c r="B25" s="2" t="s">
        <v>39</v>
      </c>
      <c r="C25" s="4">
        <v>886202333913</v>
      </c>
    </row>
    <row r="26" spans="2:3">
      <c r="B26" s="2" t="s">
        <v>57</v>
      </c>
      <c r="C26" s="4">
        <v>886202531838</v>
      </c>
    </row>
    <row r="27" spans="2:3">
      <c r="B27" s="2" t="s">
        <v>79</v>
      </c>
      <c r="C27" s="4">
        <v>886202640764</v>
      </c>
    </row>
    <row r="28" spans="2:3">
      <c r="B28" s="2" t="s">
        <v>31</v>
      </c>
      <c r="C28" s="4">
        <v>886202532897</v>
      </c>
    </row>
    <row r="29" spans="2:3">
      <c r="B29" s="2" t="s">
        <v>10</v>
      </c>
      <c r="C29" s="4">
        <v>876202472971</v>
      </c>
    </row>
    <row r="30" spans="2:3">
      <c r="B30" s="2" t="s">
        <v>59</v>
      </c>
      <c r="C30" s="4">
        <v>886202160515</v>
      </c>
    </row>
    <row r="31" spans="2:3">
      <c r="B31" s="2" t="s">
        <v>41</v>
      </c>
      <c r="C31" s="4">
        <v>886202391908</v>
      </c>
    </row>
    <row r="32" spans="2:3">
      <c r="B32" s="2" t="s">
        <v>33</v>
      </c>
      <c r="C32" s="4">
        <v>886202171558</v>
      </c>
    </row>
    <row r="33" spans="2:3">
      <c r="B33" s="2" t="s">
        <v>105</v>
      </c>
      <c r="C33" s="4">
        <v>876202718999</v>
      </c>
    </row>
    <row r="34" spans="2:3">
      <c r="B34" s="2" t="s">
        <v>115</v>
      </c>
      <c r="C34" s="4">
        <v>886202658967</v>
      </c>
    </row>
    <row r="35" spans="2:3">
      <c r="B35" s="2" t="s">
        <v>83</v>
      </c>
      <c r="C35" s="4">
        <v>886202848347</v>
      </c>
    </row>
    <row r="36" spans="2:3">
      <c r="B36" s="2" t="s">
        <v>123</v>
      </c>
      <c r="C36" s="4">
        <v>886202593924</v>
      </c>
    </row>
    <row r="37" spans="2:3">
      <c r="B37" s="2" t="s">
        <v>85</v>
      </c>
      <c r="C37" s="4">
        <v>886202982526</v>
      </c>
    </row>
    <row r="38" spans="2:3">
      <c r="B38" s="2" t="s">
        <v>71</v>
      </c>
      <c r="C38" s="4">
        <v>886202227960</v>
      </c>
    </row>
    <row r="39" spans="2:3">
      <c r="B39" s="2" t="s">
        <v>65</v>
      </c>
      <c r="C39" s="4">
        <v>886202460096</v>
      </c>
    </row>
    <row r="40" spans="2:3">
      <c r="B40" s="2" t="s">
        <v>103</v>
      </c>
      <c r="C40" s="4">
        <v>886202595285</v>
      </c>
    </row>
    <row r="41" spans="2:3">
      <c r="B41" s="2" t="s">
        <v>23</v>
      </c>
      <c r="C41" s="4">
        <v>886202122200</v>
      </c>
    </row>
    <row r="42" spans="2:3">
      <c r="B42" s="2" t="s">
        <v>87</v>
      </c>
      <c r="C42" s="4">
        <v>886202701901</v>
      </c>
    </row>
    <row r="43" spans="2:3">
      <c r="B43" s="2" t="s">
        <v>21</v>
      </c>
      <c r="C43" s="4">
        <v>886202297361</v>
      </c>
    </row>
    <row r="44" spans="2:3">
      <c r="B44" s="2" t="s">
        <v>91</v>
      </c>
      <c r="C44" s="4">
        <v>886202155633</v>
      </c>
    </row>
    <row r="45" spans="2:3">
      <c r="B45" s="2" t="s">
        <v>119</v>
      </c>
      <c r="C45" s="4">
        <v>886202909775</v>
      </c>
    </row>
    <row r="46" spans="2:3">
      <c r="B46" s="2" t="s">
        <v>55</v>
      </c>
      <c r="C46" s="4">
        <v>876202574301</v>
      </c>
    </row>
    <row r="47" spans="2:3">
      <c r="B47" s="2" t="s">
        <v>69</v>
      </c>
      <c r="C47" s="4">
        <v>886202331208</v>
      </c>
    </row>
    <row r="48" spans="2:3">
      <c r="B48" s="2" t="s">
        <v>77</v>
      </c>
      <c r="C48" s="4">
        <v>886202562085</v>
      </c>
    </row>
    <row r="49" spans="2:3">
      <c r="B49" s="2" t="s">
        <v>73</v>
      </c>
      <c r="C49" s="4">
        <v>886202047729</v>
      </c>
    </row>
    <row r="50" spans="2:3">
      <c r="B50" s="2" t="s">
        <v>35</v>
      </c>
      <c r="C50" s="4">
        <v>886202464165</v>
      </c>
    </row>
    <row r="51" spans="2:3">
      <c r="B51" s="2" t="s">
        <v>29</v>
      </c>
      <c r="C51" s="4">
        <v>886202853997</v>
      </c>
    </row>
    <row r="52" spans="2:3">
      <c r="B52" s="2" t="s">
        <v>25</v>
      </c>
      <c r="C52" s="4">
        <v>886202452791</v>
      </c>
    </row>
    <row r="53" spans="2:3">
      <c r="B53" s="2" t="s">
        <v>53</v>
      </c>
      <c r="C53" s="4">
        <v>886202933054</v>
      </c>
    </row>
    <row r="54" spans="2:3">
      <c r="B54" s="2" t="s">
        <v>95</v>
      </c>
      <c r="C54" s="4">
        <v>886202260310</v>
      </c>
    </row>
    <row r="55" spans="2:3">
      <c r="B55" s="2" t="s">
        <v>17</v>
      </c>
      <c r="C55" s="4">
        <v>886202891250</v>
      </c>
    </row>
    <row r="56" spans="2:3">
      <c r="B56" s="2" t="s">
        <v>43</v>
      </c>
      <c r="C56" s="4">
        <v>886202951382</v>
      </c>
    </row>
    <row r="57" spans="2:3">
      <c r="B57" s="2" t="s">
        <v>107</v>
      </c>
      <c r="C57" s="4">
        <v>886202366105</v>
      </c>
    </row>
    <row r="58" spans="2:3">
      <c r="B58" s="2" t="s">
        <v>81</v>
      </c>
      <c r="C58" s="4">
        <v>886202627074</v>
      </c>
    </row>
    <row r="59" spans="2:3">
      <c r="B59" s="2" t="s">
        <v>101</v>
      </c>
      <c r="C59" s="4">
        <v>886202515395</v>
      </c>
    </row>
    <row r="60" spans="2:3">
      <c r="B60" s="2" t="s">
        <v>27</v>
      </c>
      <c r="C60" s="4">
        <v>886202021556</v>
      </c>
    </row>
    <row r="61" spans="2:3">
      <c r="B61" s="2" t="s">
        <v>113</v>
      </c>
      <c r="C61" s="4">
        <v>886202787619</v>
      </c>
    </row>
    <row r="62" spans="2:3">
      <c r="B62" s="2" t="s">
        <v>125</v>
      </c>
      <c r="C62" s="4">
        <v>886202850602</v>
      </c>
    </row>
    <row r="63" spans="2:3">
      <c r="B63" s="2" t="s">
        <v>111</v>
      </c>
      <c r="C63" s="4">
        <v>886202871952</v>
      </c>
    </row>
    <row r="64" spans="2:3">
      <c r="B64" s="2" t="s">
        <v>109</v>
      </c>
      <c r="C64" s="4">
        <v>886202083121</v>
      </c>
    </row>
    <row r="65" spans="2:3">
      <c r="B65" s="2" t="s">
        <v>49</v>
      </c>
      <c r="C65" s="4">
        <v>886202347978</v>
      </c>
    </row>
    <row r="66" spans="2:3">
      <c r="B66" s="2" t="s">
        <v>15</v>
      </c>
      <c r="C66" s="4">
        <v>886202847345</v>
      </c>
    </row>
    <row r="67" spans="2:3">
      <c r="B67" s="2" t="s">
        <v>89</v>
      </c>
      <c r="C67" s="4">
        <v>886202391342</v>
      </c>
    </row>
    <row r="68" spans="2:3">
      <c r="B68" s="2" t="s">
        <v>121</v>
      </c>
      <c r="C68" s="4">
        <v>886202728211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2026-07-22T08:11:41Z</dcterms:created>
  <dcterms:modified xsi:type="dcterms:W3CDTF">2026-08-04T09:45:21Z</dcterms:modified>
  <cp:category/>
  <cp:contentStatus/>
</cp:coreProperties>
</file>