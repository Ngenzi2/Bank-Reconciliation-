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83" documentId="11_1E575E0083F31B5FF132B40DA2395167D1F30CFC" xr6:coauthVersionLast="47" xr6:coauthVersionMax="47" xr10:uidLastSave="{6FABD0CA-825D-4D6C-863E-88B367528928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7" i="1"/>
  <c r="D16" i="1"/>
  <c r="D2" i="1"/>
</calcChain>
</file>

<file path=xl/sharedStrings.xml><?xml version="1.0" encoding="utf-8"?>
<sst xmlns="http://schemas.openxmlformats.org/spreadsheetml/2006/main" count="112" uniqueCount="54">
  <si>
    <t>BOOKING_DATE</t>
  </si>
  <si>
    <t>BANK_REFERENCE</t>
  </si>
  <si>
    <t>DESCRIPTION</t>
  </si>
  <si>
    <t>INVOICE</t>
  </si>
  <si>
    <t>VALUE_DATE</t>
  </si>
  <si>
    <t>DEBIT</t>
  </si>
  <si>
    <t>CREDIT</t>
  </si>
  <si>
    <t>CLOSING_BALANCE</t>
  </si>
  <si>
    <t>2026-07-23</t>
  </si>
  <si>
    <t>FT262045XGB4</t>
  </si>
  <si>
    <t>SZ600NKJ9FJB</t>
  </si>
  <si>
    <t>23-JUL-26</t>
  </si>
  <si>
    <t>FT26204ZY3WK</t>
  </si>
  <si>
    <t>20144659841</t>
  </si>
  <si>
    <t>FT26204DG87F</t>
  </si>
  <si>
    <t>SZW00NLWTA8L</t>
  </si>
  <si>
    <t>FT26204ZF85V</t>
  </si>
  <si>
    <t>20144659255</t>
  </si>
  <si>
    <t>FT26204RGN6M</t>
  </si>
  <si>
    <t>SZ100NSU76CV</t>
  </si>
  <si>
    <t>FT262042QWHN</t>
  </si>
  <si>
    <t>SZ400NSVDP5W</t>
  </si>
  <si>
    <t>FT26204WK136</t>
  </si>
  <si>
    <t>SZ200NBV3C6W</t>
  </si>
  <si>
    <t>FT26204FPZND</t>
  </si>
  <si>
    <t>SZ200NSAA5J9</t>
  </si>
  <si>
    <t>FT26204PFW8K</t>
  </si>
  <si>
    <t>20144659948</t>
  </si>
  <si>
    <t>FT26204GWGRP</t>
  </si>
  <si>
    <t>SZ300NC7BVLK</t>
  </si>
  <si>
    <t>FT26204C259R</t>
  </si>
  <si>
    <t>SZB00NL9WYYT</t>
  </si>
  <si>
    <t>FT26204R30SX</t>
  </si>
  <si>
    <t>SZA00NB5BE2D</t>
  </si>
  <si>
    <t>FT26204922SG</t>
  </si>
  <si>
    <t>20144659456</t>
  </si>
  <si>
    <t>FT26204Y9X7F</t>
  </si>
  <si>
    <t>SZQ00NFD0XRF</t>
  </si>
  <si>
    <t>FT26204G1N4F</t>
  </si>
  <si>
    <t>SZZ00NBTWYHC</t>
  </si>
  <si>
    <t>FT26204D4FFV</t>
  </si>
  <si>
    <t>SZD00M76VTVE</t>
  </si>
  <si>
    <t>FT26204X27J8</t>
  </si>
  <si>
    <t>SZH00NCPCN8V</t>
  </si>
  <si>
    <t>FT26204W8487</t>
  </si>
  <si>
    <t>SZZ00ND9VAH4</t>
  </si>
  <si>
    <t>FT26204R4SM9</t>
  </si>
  <si>
    <t>SZS00NLV7MCP</t>
  </si>
  <si>
    <t>FT26204CRLFY</t>
  </si>
  <si>
    <t>20144659725</t>
  </si>
  <si>
    <t>FT262048QGDV</t>
  </si>
  <si>
    <t>20144659637</t>
  </si>
  <si>
    <t>FT26204B01PZ</t>
  </si>
  <si>
    <t>SZ000NT0EGN5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</si>
</sst>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right"/>
    </xf>
    <xf numFmtId="43" fontId="0" fillId="0" borderId="0" xfId="1" applyFont="1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H24"/>
  <sheetViews>
    <sheetView tabSelected="1" workbookViewId="0">
      <pane ySplit="1" topLeftCell="A3" activePane="bottomLeft" state="frozen"/>
      <selection pane="bottomLeft" activeCell="E9" sqref="E9"/>
    </sheetView>
  </sheetViews>
  <sheetFormatPr defaultRowHeight="14.45"/>
  <cols>
    <col min="1" max="1" width="13.85546875" bestFit="1" customWidth="1"/>
    <col min="2" max="2" width="18.85546875" bestFit="1" customWidth="1"/>
    <col min="3" max="3" width="17" bestFit="1" customWidth="1"/>
    <col min="4" max="4" width="17" customWidth="1"/>
    <col min="5" max="5" width="11.28515625" bestFit="1" customWidth="1"/>
    <col min="6" max="6" width="10.140625" bestFit="1" customWidth="1"/>
    <col min="7" max="7" width="11.140625" bestFit="1" customWidth="1"/>
    <col min="8" max="8" width="17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f>VLOOKUP(C2,SQL!C2:D17,2,FALSE)</f>
        <v>886204650727</v>
      </c>
      <c r="E2" t="s">
        <v>11</v>
      </c>
      <c r="F2" s="1">
        <v>0</v>
      </c>
      <c r="G2" s="1">
        <v>20000</v>
      </c>
      <c r="H2" s="1">
        <v>12027620</v>
      </c>
    </row>
    <row r="3" spans="1:8">
      <c r="A3" t="s">
        <v>8</v>
      </c>
      <c r="B3" t="s">
        <v>12</v>
      </c>
      <c r="C3" t="s">
        <v>13</v>
      </c>
      <c r="D3" s="5">
        <v>886204569821</v>
      </c>
      <c r="E3" t="s">
        <v>11</v>
      </c>
      <c r="F3" s="1">
        <v>0</v>
      </c>
      <c r="G3" s="1">
        <v>3000</v>
      </c>
      <c r="H3" s="1">
        <v>12030620</v>
      </c>
    </row>
    <row r="4" spans="1:8" hidden="1">
      <c r="A4" t="s">
        <v>8</v>
      </c>
      <c r="B4" t="s">
        <v>14</v>
      </c>
      <c r="C4" t="s">
        <v>15</v>
      </c>
      <c r="D4">
        <f>VLOOKUP(C4,SQL!C4:D19,2,FALSE)</f>
        <v>886204670683</v>
      </c>
      <c r="E4" t="s">
        <v>11</v>
      </c>
      <c r="F4" s="1">
        <v>0</v>
      </c>
      <c r="G4" s="1">
        <v>100000</v>
      </c>
      <c r="H4" s="1">
        <v>12130620</v>
      </c>
    </row>
    <row r="5" spans="1:8">
      <c r="A5" t="s">
        <v>8</v>
      </c>
      <c r="B5" t="s">
        <v>16</v>
      </c>
      <c r="C5" t="s">
        <v>17</v>
      </c>
      <c r="D5" s="5">
        <v>886204338904</v>
      </c>
      <c r="E5" t="s">
        <v>11</v>
      </c>
      <c r="F5" s="1">
        <v>0</v>
      </c>
      <c r="G5" s="1">
        <v>15000</v>
      </c>
      <c r="H5" s="1">
        <v>140000</v>
      </c>
    </row>
    <row r="6" spans="1:8" hidden="1">
      <c r="A6" t="s">
        <v>8</v>
      </c>
      <c r="B6" t="s">
        <v>18</v>
      </c>
      <c r="C6" t="s">
        <v>19</v>
      </c>
      <c r="D6" s="4">
        <v>886204305159</v>
      </c>
      <c r="E6" t="s">
        <v>11</v>
      </c>
      <c r="F6" s="1">
        <v>0</v>
      </c>
      <c r="G6" s="1">
        <v>15000</v>
      </c>
      <c r="H6" s="1">
        <v>155000</v>
      </c>
    </row>
    <row r="7" spans="1:8" hidden="1">
      <c r="A7" t="s">
        <v>8</v>
      </c>
      <c r="B7" t="s">
        <v>20</v>
      </c>
      <c r="C7" t="s">
        <v>21</v>
      </c>
      <c r="D7">
        <f>VLOOKUP(C7,SQL!C7:D22,2,FALSE)</f>
        <v>886204324303</v>
      </c>
      <c r="E7" t="s">
        <v>11</v>
      </c>
      <c r="F7" s="1">
        <v>0</v>
      </c>
      <c r="G7" s="1">
        <v>21000</v>
      </c>
      <c r="H7" s="1">
        <v>176000</v>
      </c>
    </row>
    <row r="8" spans="1:8" hidden="1">
      <c r="A8" t="s">
        <v>8</v>
      </c>
      <c r="B8" t="s">
        <v>22</v>
      </c>
      <c r="C8" t="s">
        <v>23</v>
      </c>
      <c r="D8" s="4">
        <v>886204119827</v>
      </c>
      <c r="E8" t="s">
        <v>11</v>
      </c>
      <c r="F8" s="1">
        <v>0</v>
      </c>
      <c r="G8" s="1">
        <v>1500</v>
      </c>
      <c r="H8" s="1">
        <v>177500</v>
      </c>
    </row>
    <row r="9" spans="1:8" hidden="1">
      <c r="A9" t="s">
        <v>8</v>
      </c>
      <c r="B9" t="s">
        <v>24</v>
      </c>
      <c r="C9" t="s">
        <v>25</v>
      </c>
      <c r="D9" s="4">
        <v>886204037967</v>
      </c>
      <c r="E9" t="s">
        <v>11</v>
      </c>
      <c r="F9" s="1">
        <v>0</v>
      </c>
      <c r="G9" s="1">
        <v>1500</v>
      </c>
      <c r="H9" s="1">
        <v>179000</v>
      </c>
    </row>
    <row r="10" spans="1:8" hidden="1">
      <c r="A10" t="s">
        <v>8</v>
      </c>
      <c r="B10" t="s">
        <v>26</v>
      </c>
      <c r="C10" t="s">
        <v>27</v>
      </c>
      <c r="D10" s="5">
        <v>886204782322</v>
      </c>
      <c r="E10" t="s">
        <v>11</v>
      </c>
      <c r="F10" s="1">
        <v>0</v>
      </c>
      <c r="G10" s="1">
        <v>10000</v>
      </c>
      <c r="H10" s="1">
        <v>189000</v>
      </c>
    </row>
    <row r="11" spans="1:8" hidden="1">
      <c r="A11" t="s">
        <v>8</v>
      </c>
      <c r="B11" t="s">
        <v>28</v>
      </c>
      <c r="C11" t="s">
        <v>29</v>
      </c>
      <c r="D11" s="4">
        <v>886204282611</v>
      </c>
      <c r="E11" t="s">
        <v>11</v>
      </c>
      <c r="F11" s="1">
        <v>0</v>
      </c>
      <c r="G11" s="1">
        <v>3000</v>
      </c>
      <c r="H11" s="1">
        <v>192000</v>
      </c>
    </row>
    <row r="12" spans="1:8" hidden="1">
      <c r="A12" t="s">
        <v>8</v>
      </c>
      <c r="B12" t="s">
        <v>30</v>
      </c>
      <c r="C12" t="s">
        <v>31</v>
      </c>
      <c r="D12" s="4">
        <v>886204247123</v>
      </c>
      <c r="E12" t="s">
        <v>11</v>
      </c>
      <c r="F12" s="1">
        <v>0</v>
      </c>
      <c r="G12" s="1">
        <v>6000</v>
      </c>
      <c r="H12" s="1">
        <v>198000</v>
      </c>
    </row>
    <row r="13" spans="1:8" hidden="1">
      <c r="A13" t="s">
        <v>8</v>
      </c>
      <c r="B13" t="s">
        <v>32</v>
      </c>
      <c r="C13" t="s">
        <v>33</v>
      </c>
      <c r="D13" s="4">
        <v>886204631647</v>
      </c>
      <c r="E13" t="s">
        <v>11</v>
      </c>
      <c r="F13" s="1">
        <v>0</v>
      </c>
      <c r="G13" s="1">
        <v>1200</v>
      </c>
      <c r="H13" s="1">
        <v>199200</v>
      </c>
    </row>
    <row r="14" spans="1:8" hidden="1">
      <c r="A14" t="s">
        <v>8</v>
      </c>
      <c r="B14" t="s">
        <v>34</v>
      </c>
      <c r="C14" t="s">
        <v>35</v>
      </c>
      <c r="D14" s="5">
        <v>886204503734</v>
      </c>
      <c r="E14" t="s">
        <v>11</v>
      </c>
      <c r="F14" s="1">
        <v>0</v>
      </c>
      <c r="G14" s="1">
        <v>35000</v>
      </c>
      <c r="H14" s="1">
        <v>234200</v>
      </c>
    </row>
    <row r="15" spans="1:8" hidden="1">
      <c r="A15" t="s">
        <v>8</v>
      </c>
      <c r="B15" t="s">
        <v>36</v>
      </c>
      <c r="C15" t="s">
        <v>37</v>
      </c>
      <c r="D15" s="4">
        <v>886204405022</v>
      </c>
      <c r="E15" t="s">
        <v>11</v>
      </c>
      <c r="F15" s="1">
        <v>0</v>
      </c>
      <c r="G15" s="1">
        <v>10000</v>
      </c>
      <c r="H15" s="1">
        <v>244200</v>
      </c>
    </row>
    <row r="16" spans="1:8" hidden="1">
      <c r="A16" t="s">
        <v>8</v>
      </c>
      <c r="B16" t="s">
        <v>38</v>
      </c>
      <c r="C16" t="s">
        <v>39</v>
      </c>
      <c r="D16">
        <f>VLOOKUP(C16,SQL!C16:D31,2,FALSE)</f>
        <v>886204305521</v>
      </c>
      <c r="E16" t="s">
        <v>11</v>
      </c>
      <c r="F16" s="1">
        <v>0</v>
      </c>
      <c r="G16" s="1">
        <v>15000</v>
      </c>
      <c r="H16" s="1">
        <v>259200</v>
      </c>
    </row>
    <row r="17" spans="1:8" hidden="1">
      <c r="A17" t="s">
        <v>8</v>
      </c>
      <c r="B17" t="s">
        <v>40</v>
      </c>
      <c r="C17" t="s">
        <v>41</v>
      </c>
      <c r="D17" s="4">
        <v>886204294925</v>
      </c>
      <c r="E17" t="s">
        <v>11</v>
      </c>
      <c r="F17" s="1">
        <v>0</v>
      </c>
      <c r="G17" s="1">
        <v>500</v>
      </c>
      <c r="H17" s="1">
        <v>259700</v>
      </c>
    </row>
    <row r="18" spans="1:8" hidden="1">
      <c r="A18" t="s">
        <v>8</v>
      </c>
      <c r="B18" t="s">
        <v>42</v>
      </c>
      <c r="C18" t="s">
        <v>43</v>
      </c>
      <c r="D18" s="4">
        <v>886204233709</v>
      </c>
      <c r="E18" t="s">
        <v>11</v>
      </c>
      <c r="F18" s="1">
        <v>0</v>
      </c>
      <c r="G18" s="1">
        <v>10000</v>
      </c>
      <c r="H18" s="1">
        <v>269700</v>
      </c>
    </row>
    <row r="19" spans="1:8" hidden="1">
      <c r="A19" t="s">
        <v>8</v>
      </c>
      <c r="B19" t="s">
        <v>44</v>
      </c>
      <c r="C19" t="s">
        <v>45</v>
      </c>
      <c r="D19" s="4">
        <v>886204377021</v>
      </c>
      <c r="E19" t="s">
        <v>11</v>
      </c>
      <c r="F19" s="1">
        <v>0</v>
      </c>
      <c r="G19" s="1">
        <v>20000</v>
      </c>
      <c r="H19" s="1">
        <v>289700</v>
      </c>
    </row>
    <row r="20" spans="1:8" hidden="1">
      <c r="A20" t="s">
        <v>8</v>
      </c>
      <c r="B20" t="s">
        <v>46</v>
      </c>
      <c r="C20" t="s">
        <v>47</v>
      </c>
      <c r="D20" s="4">
        <v>886204494913</v>
      </c>
      <c r="E20" t="s">
        <v>11</v>
      </c>
      <c r="F20" s="1">
        <v>0</v>
      </c>
      <c r="G20" s="1">
        <v>15000</v>
      </c>
      <c r="H20" s="1">
        <v>304700</v>
      </c>
    </row>
    <row r="21" spans="1:8" hidden="1">
      <c r="A21" t="s">
        <v>8</v>
      </c>
      <c r="B21" t="s">
        <v>48</v>
      </c>
      <c r="C21" t="s">
        <v>49</v>
      </c>
      <c r="D21" s="5">
        <v>886204860849</v>
      </c>
      <c r="E21" t="s">
        <v>11</v>
      </c>
      <c r="F21" s="1">
        <v>0</v>
      </c>
      <c r="G21" s="1">
        <v>20000</v>
      </c>
      <c r="H21" s="1">
        <v>324700</v>
      </c>
    </row>
    <row r="22" spans="1:8" hidden="1">
      <c r="A22" t="s">
        <v>8</v>
      </c>
      <c r="B22" t="s">
        <v>50</v>
      </c>
      <c r="C22" t="s">
        <v>51</v>
      </c>
      <c r="D22" s="5">
        <v>886204356978</v>
      </c>
      <c r="E22" t="s">
        <v>11</v>
      </c>
      <c r="F22" s="1">
        <v>0</v>
      </c>
      <c r="G22" s="1">
        <v>9000</v>
      </c>
      <c r="H22" s="1">
        <v>333700</v>
      </c>
    </row>
    <row r="23" spans="1:8" hidden="1">
      <c r="A23" t="s">
        <v>8</v>
      </c>
      <c r="B23" t="s">
        <v>52</v>
      </c>
      <c r="C23" t="s">
        <v>53</v>
      </c>
      <c r="D23" s="4">
        <v>886204145950</v>
      </c>
      <c r="E23" t="s">
        <v>11</v>
      </c>
      <c r="F23" s="1">
        <v>0</v>
      </c>
      <c r="G23" s="1">
        <v>8000</v>
      </c>
      <c r="H23" s="1">
        <v>841700</v>
      </c>
    </row>
    <row r="24" spans="1:8">
      <c r="G24" s="2"/>
    </row>
  </sheetData>
  <autoFilter ref="A1:H23" xr:uid="{00000000-0001-0000-0000-000000000000}">
    <filterColumn colId="1">
      <filters>
        <filter val="FT26204ZF85V"/>
        <filter val="FT26204ZY3WK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D17"/>
  <sheetViews>
    <sheetView workbookViewId="0">
      <selection activeCell="D2" sqref="D2"/>
    </sheetView>
  </sheetViews>
  <sheetFormatPr defaultRowHeight="14.45"/>
  <cols>
    <col min="2" max="2" width="15.140625" customWidth="1"/>
    <col min="3" max="3" width="15" customWidth="1"/>
    <col min="4" max="4" width="24.85546875" customWidth="1"/>
  </cols>
  <sheetData>
    <row r="2" spans="3:4">
      <c r="C2" s="3" t="s">
        <v>53</v>
      </c>
      <c r="D2" s="4">
        <v>886204145950</v>
      </c>
    </row>
    <row r="3" spans="3:4">
      <c r="C3" s="3" t="s">
        <v>19</v>
      </c>
      <c r="D3" s="4">
        <v>886204305159</v>
      </c>
    </row>
    <row r="4" spans="3:4">
      <c r="C4" s="3" t="s">
        <v>23</v>
      </c>
      <c r="D4" s="4">
        <v>886204119827</v>
      </c>
    </row>
    <row r="5" spans="3:4">
      <c r="C5" s="3" t="s">
        <v>25</v>
      </c>
      <c r="D5" s="4">
        <v>886204037967</v>
      </c>
    </row>
    <row r="6" spans="3:4">
      <c r="C6" s="3" t="s">
        <v>29</v>
      </c>
      <c r="D6" s="4">
        <v>886204282611</v>
      </c>
    </row>
    <row r="7" spans="3:4">
      <c r="C7" s="3" t="s">
        <v>21</v>
      </c>
      <c r="D7" s="4">
        <v>886204324303</v>
      </c>
    </row>
    <row r="8" spans="3:4">
      <c r="C8" s="3" t="s">
        <v>10</v>
      </c>
      <c r="D8" s="4">
        <v>886204650727</v>
      </c>
    </row>
    <row r="9" spans="3:4">
      <c r="C9" s="3" t="s">
        <v>33</v>
      </c>
      <c r="D9" s="4">
        <v>886204631647</v>
      </c>
    </row>
    <row r="10" spans="3:4">
      <c r="C10" s="3" t="s">
        <v>31</v>
      </c>
      <c r="D10" s="4">
        <v>886204247123</v>
      </c>
    </row>
    <row r="11" spans="3:4">
      <c r="C11" s="3" t="s">
        <v>41</v>
      </c>
      <c r="D11" s="4">
        <v>886204294925</v>
      </c>
    </row>
    <row r="12" spans="3:4">
      <c r="C12" s="3" t="s">
        <v>43</v>
      </c>
      <c r="D12" s="4">
        <v>886204233709</v>
      </c>
    </row>
    <row r="13" spans="3:4">
      <c r="C13" s="3" t="s">
        <v>37</v>
      </c>
      <c r="D13" s="4">
        <v>886204405022</v>
      </c>
    </row>
    <row r="14" spans="3:4">
      <c r="C14" s="3" t="s">
        <v>47</v>
      </c>
      <c r="D14" s="4">
        <v>886204494913</v>
      </c>
    </row>
    <row r="15" spans="3:4">
      <c r="C15" s="3" t="s">
        <v>15</v>
      </c>
      <c r="D15" s="4">
        <v>886204670683</v>
      </c>
    </row>
    <row r="16" spans="3:4">
      <c r="C16" s="3" t="s">
        <v>39</v>
      </c>
      <c r="D16" s="4">
        <v>886204305521</v>
      </c>
    </row>
    <row r="17" spans="3:4">
      <c r="C17" s="3" t="s">
        <v>45</v>
      </c>
      <c r="D17" s="4">
        <v>886204377021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alainlandry.higiro@bpr.rw</cp:lastModifiedBy>
  <cp:revision/>
  <dcterms:created xsi:type="dcterms:W3CDTF">2026-07-24T07:30:50Z</dcterms:created>
  <dcterms:modified xsi:type="dcterms:W3CDTF">2026-08-06T09:57:11Z</dcterms:modified>
  <cp:category/>
  <cp:contentStatus/>
</cp:coreProperties>
</file>