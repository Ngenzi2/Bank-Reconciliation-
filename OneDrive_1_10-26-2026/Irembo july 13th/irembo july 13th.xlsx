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kcbbankgroup-my.sharepoint.com/personal/rwa206217_bpr_rw/Documents/Desktop/DIGITAL BANKING/IREMBO/"/>
    </mc:Choice>
  </mc:AlternateContent>
  <xr:revisionPtr revIDLastSave="101" documentId="11_9C525E00F2DB1F7E4733B40DA239516761F66EA7" xr6:coauthVersionLast="47" xr6:coauthVersionMax="47" xr10:uidLastSave="{21618059-47FF-4D89-964E-E682580B888E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definedNames>
    <definedName name="_xlnm._FilterDatabase" localSheetId="0" hidden="1">'Export Worksheet'!$A$1:$H$67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2" i="1"/>
  <c r="D13" i="1"/>
  <c r="D14" i="1"/>
  <c r="D15" i="1"/>
  <c r="D16" i="1"/>
  <c r="D17" i="1"/>
  <c r="D18" i="1"/>
  <c r="D19" i="1"/>
  <c r="D20" i="1"/>
  <c r="D21" i="1"/>
  <c r="D22" i="1"/>
  <c r="D23" i="1"/>
  <c r="D26" i="1"/>
  <c r="D27" i="1"/>
  <c r="D28" i="1"/>
  <c r="D30" i="1"/>
  <c r="D32" i="1"/>
  <c r="D33" i="1"/>
  <c r="D34" i="1"/>
  <c r="D36" i="1"/>
  <c r="D39" i="1"/>
  <c r="D45" i="1"/>
  <c r="D46" i="1"/>
  <c r="D47" i="1"/>
  <c r="D51" i="1"/>
  <c r="D55" i="1"/>
  <c r="D58" i="1"/>
  <c r="D2" i="1"/>
</calcChain>
</file>

<file path=xl/sharedStrings.xml><?xml version="1.0" encoding="utf-8"?>
<sst xmlns="http://schemas.openxmlformats.org/spreadsheetml/2006/main" count="336" uniqueCount="143">
  <si>
    <t>BOOKING_DATE</t>
  </si>
  <si>
    <t>BANK_REFERENCE</t>
  </si>
  <si>
    <t>DESCRIPTION</t>
  </si>
  <si>
    <t>INVOICE NUMBER</t>
  </si>
  <si>
    <t>VALUE_DATE</t>
  </si>
  <si>
    <t>DEBIT</t>
  </si>
  <si>
    <t>CREDIT</t>
  </si>
  <si>
    <t>CLOSING_BALANCE</t>
  </si>
  <si>
    <t>2026-07-13</t>
  </si>
  <si>
    <t>FT26194J7Z13</t>
  </si>
  <si>
    <t>SZP094VQC48M</t>
  </si>
  <si>
    <t>13-JUL-26</t>
  </si>
  <si>
    <t>FT26194GPWV8</t>
  </si>
  <si>
    <t>SZX094TY9L1V</t>
  </si>
  <si>
    <t>FT26194Q4Z1N</t>
  </si>
  <si>
    <t>SZX094CUQ3AN</t>
  </si>
  <si>
    <t>FT26194KQBF6</t>
  </si>
  <si>
    <t>SZ6094DD91VJ</t>
  </si>
  <si>
    <t>FT26194WQ3L5</t>
  </si>
  <si>
    <t>SZH094TR4HGA</t>
  </si>
  <si>
    <t>FT261942BYNW</t>
  </si>
  <si>
    <t>SZW094U0V90P</t>
  </si>
  <si>
    <t>FT26194F3L9N</t>
  </si>
  <si>
    <t>SZS094Q1EJ9J</t>
  </si>
  <si>
    <t>FT261941RPG8</t>
  </si>
  <si>
    <t>SZX094XRC8N0</t>
  </si>
  <si>
    <t>FT26194J1047</t>
  </si>
  <si>
    <t>SZD094NZ98Q5</t>
  </si>
  <si>
    <t>FT261945MMYV</t>
  </si>
  <si>
    <t>SZ0094WZM5MR</t>
  </si>
  <si>
    <t>FT26194TD3S3</t>
  </si>
  <si>
    <t>SZU094XW2MFR</t>
  </si>
  <si>
    <t>FT26194L1N48</t>
  </si>
  <si>
    <t>SZF094RRGR5N</t>
  </si>
  <si>
    <t>FT26194BSF4B</t>
  </si>
  <si>
    <t>SZR094KFE4N1</t>
  </si>
  <si>
    <t>FT26194RCNLW</t>
  </si>
  <si>
    <t>SZT094N5RMC4</t>
  </si>
  <si>
    <t>FT261942HVPL</t>
  </si>
  <si>
    <t>SZU0938DSDR3</t>
  </si>
  <si>
    <t>FT26194BVQGF</t>
  </si>
  <si>
    <t>SZC094FTGYSK</t>
  </si>
  <si>
    <t>FT261945NVWQ</t>
  </si>
  <si>
    <t>SZB094CH526G</t>
  </si>
  <si>
    <t>FT261941X89R</t>
  </si>
  <si>
    <t>SZY094W7RUQN</t>
  </si>
  <si>
    <t>FT26194MZQVS</t>
  </si>
  <si>
    <t>SZK0937ULTJ9</t>
  </si>
  <si>
    <t>FT261940WM2K</t>
  </si>
  <si>
    <t>SZE0925YQGWA</t>
  </si>
  <si>
    <t>12-JUL-26</t>
  </si>
  <si>
    <t>FT26194DQNQB</t>
  </si>
  <si>
    <t>SZG094TXE792</t>
  </si>
  <si>
    <t>FT26194FP7XN</t>
  </si>
  <si>
    <t>SZR094C6RDNR</t>
  </si>
  <si>
    <t>FT26194X04PF</t>
  </si>
  <si>
    <t>SZ00928J2T7M</t>
  </si>
  <si>
    <t>FT26194T1CNJ</t>
  </si>
  <si>
    <t>SZ70928P2Y22</t>
  </si>
  <si>
    <t>FT26194GX1FH</t>
  </si>
  <si>
    <t>SZZ094Z956HU</t>
  </si>
  <si>
    <t>FT261949LLB4</t>
  </si>
  <si>
    <t>SZL094TS4VBR</t>
  </si>
  <si>
    <t>FT26194RJRKN</t>
  </si>
  <si>
    <t>SZY094AT23R0</t>
  </si>
  <si>
    <t>FT26194G4317</t>
  </si>
  <si>
    <t>SZD094BETQLY</t>
  </si>
  <si>
    <t>FT261941QJDC</t>
  </si>
  <si>
    <t>SZX093229FBU</t>
  </si>
  <si>
    <t>FT261943068R</t>
  </si>
  <si>
    <t>SZ00926L5LWE</t>
  </si>
  <si>
    <t>FT26194M4FVG</t>
  </si>
  <si>
    <t>SZV094FWN8RC</t>
  </si>
  <si>
    <t>FT261948QN09</t>
  </si>
  <si>
    <t>SZX094E4B0HJ</t>
  </si>
  <si>
    <t>FT26194W36N5</t>
  </si>
  <si>
    <t>SZK094M62NL3</t>
  </si>
  <si>
    <t>FT261941RSZV</t>
  </si>
  <si>
    <t>SZ40936YSVN4</t>
  </si>
  <si>
    <t>FT2619475T1R</t>
  </si>
  <si>
    <t>SZN0930VQQT6</t>
  </si>
  <si>
    <t>FT26194WKCH9</t>
  </si>
  <si>
    <t>SZA094CNX873</t>
  </si>
  <si>
    <t>FT26194XDCB3</t>
  </si>
  <si>
    <t>SZB094MDVBYU</t>
  </si>
  <si>
    <t>FT26194YY1DW</t>
  </si>
  <si>
    <t>SZQ094E5LCYG</t>
  </si>
  <si>
    <t>FT261945K7CN</t>
  </si>
  <si>
    <t>SZ3094T2HFHZ</t>
  </si>
  <si>
    <t>FT26194V3KVC</t>
  </si>
  <si>
    <t>SZE094RA2S5T</t>
  </si>
  <si>
    <t>FT26194VPQMZ</t>
  </si>
  <si>
    <t>SZH094Q5S024</t>
  </si>
  <si>
    <t>FT26194XC43N</t>
  </si>
  <si>
    <t>SZ9094W9NLXS</t>
  </si>
  <si>
    <t>FT26194TZLQG</t>
  </si>
  <si>
    <t>SZ9094XTQU6E</t>
  </si>
  <si>
    <t>FT261944V068</t>
  </si>
  <si>
    <t>SZR094M9DUAN</t>
  </si>
  <si>
    <t>FT261945R5QK</t>
  </si>
  <si>
    <t>SZZ094C61PZY</t>
  </si>
  <si>
    <t>FT261942YDB0</t>
  </si>
  <si>
    <t>SZX094D9DQG8</t>
  </si>
  <si>
    <t>FT26194B3GMJ</t>
  </si>
  <si>
    <t>SZ5094VTH8NC</t>
  </si>
  <si>
    <t>FT26194T40X9</t>
  </si>
  <si>
    <t>SZ4094WWEXA0</t>
  </si>
  <si>
    <t>FT26194V3CV7</t>
  </si>
  <si>
    <t>SZE094DZ7V47</t>
  </si>
  <si>
    <t>FT26194SFF8Y</t>
  </si>
  <si>
    <t>SZY094Q9LFXA</t>
  </si>
  <si>
    <t>FT26194BY8TM</t>
  </si>
  <si>
    <t>SZK0940P5Z4J</t>
  </si>
  <si>
    <t>FT2619461PQ3</t>
  </si>
  <si>
    <t>SZ8094TV1A1C</t>
  </si>
  <si>
    <t>FT26194LFWJ4</t>
  </si>
  <si>
    <t>SZD094KM88XA</t>
  </si>
  <si>
    <t>FT261941TFJG</t>
  </si>
  <si>
    <t>SZY094PEYWN3</t>
  </si>
  <si>
    <t>FT261945RM7G</t>
  </si>
  <si>
    <t>SZ7094T4DSUH</t>
  </si>
  <si>
    <t>FT26194BBVWD</t>
  </si>
  <si>
    <t>SZ1094X2FV1S</t>
  </si>
  <si>
    <t>FT26194N8SHW</t>
  </si>
  <si>
    <t>SZY094SXZUDM</t>
  </si>
  <si>
    <t>FT26194QTCXZ</t>
  </si>
  <si>
    <t>SZD094MAM29U</t>
  </si>
  <si>
    <t>FT26194KF944</t>
  </si>
  <si>
    <t>SZA094FEXJLN</t>
  </si>
  <si>
    <t>FT2619437MF2</t>
  </si>
  <si>
    <t>SZH094BH0LEN</t>
  </si>
  <si>
    <t>FT261943LTJ0</t>
  </si>
  <si>
    <t>SZG094A71XTB</t>
  </si>
  <si>
    <t>FT261949RRNW</t>
  </si>
  <si>
    <t>SZH094XY4CTT</t>
  </si>
  <si>
    <t>FT26194CSWQC</t>
  </si>
  <si>
    <t>SZF094L82N52</t>
  </si>
  <si>
    <t>FT26194CVVND</t>
  </si>
  <si>
    <t>SZZ094MMXULY</t>
  </si>
  <si>
    <t>FT261947MBND</t>
  </si>
  <si>
    <t>SZ9094K8RWJT</t>
  </si>
  <si>
    <t>FT261945QWNQ</t>
  </si>
  <si>
    <t>SZN094LJ6VQC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</si>
</sst>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7"/>
  <sheetViews>
    <sheetView tabSelected="1" workbookViewId="0">
      <pane ySplit="1" topLeftCell="A54" activePane="bottomLeft" state="frozen"/>
      <selection pane="bottomLeft" activeCell="D64" sqref="D64"/>
    </sheetView>
  </sheetViews>
  <sheetFormatPr defaultRowHeight="14.45"/>
  <cols>
    <col min="1" max="1" width="13.85546875" bestFit="1" customWidth="1"/>
    <col min="2" max="2" width="18.5703125" bestFit="1" customWidth="1"/>
    <col min="3" max="3" width="14.85546875" bestFit="1" customWidth="1"/>
    <col min="4" max="4" width="21.7109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s="2">
        <f>_xlfn.XLOOKUP(C2,SQL!C2:C65,SQL!D2:D65)</f>
        <v>886194985683</v>
      </c>
      <c r="E2" t="s">
        <v>11</v>
      </c>
      <c r="F2" s="1">
        <v>0</v>
      </c>
      <c r="G2" s="1">
        <v>500</v>
      </c>
      <c r="H2" s="1">
        <v>271000</v>
      </c>
    </row>
    <row r="3" spans="1:8">
      <c r="A3" t="s">
        <v>8</v>
      </c>
      <c r="B3" t="s">
        <v>12</v>
      </c>
      <c r="C3" t="s">
        <v>13</v>
      </c>
      <c r="D3" s="2">
        <f>_xlfn.XLOOKUP(C3,SQL!C3:C66,SQL!D3:D66)</f>
        <v>886194667963</v>
      </c>
      <c r="E3" t="s">
        <v>11</v>
      </c>
      <c r="F3" s="1">
        <v>0</v>
      </c>
      <c r="G3" s="1">
        <v>500</v>
      </c>
      <c r="H3" s="1">
        <v>271500</v>
      </c>
    </row>
    <row r="4" spans="1:8">
      <c r="A4" t="s">
        <v>8</v>
      </c>
      <c r="B4" t="s">
        <v>14</v>
      </c>
      <c r="C4" t="s">
        <v>15</v>
      </c>
      <c r="D4" s="2">
        <f>_xlfn.XLOOKUP(C4,SQL!C4:C67,SQL!D4:D67)</f>
        <v>886194590974</v>
      </c>
      <c r="E4" t="s">
        <v>11</v>
      </c>
      <c r="F4" s="1">
        <v>0</v>
      </c>
      <c r="G4" s="1">
        <v>35000</v>
      </c>
      <c r="H4" s="1">
        <v>306500</v>
      </c>
    </row>
    <row r="5" spans="1:8">
      <c r="A5" t="s">
        <v>8</v>
      </c>
      <c r="B5" t="s">
        <v>16</v>
      </c>
      <c r="C5" t="s">
        <v>17</v>
      </c>
      <c r="D5" s="2">
        <f>_xlfn.XLOOKUP(C5,SQL!C5:C68,SQL!D5:D68)</f>
        <v>886194284570</v>
      </c>
      <c r="E5" t="s">
        <v>11</v>
      </c>
      <c r="F5" s="1">
        <v>0</v>
      </c>
      <c r="G5" s="1">
        <v>5000</v>
      </c>
      <c r="H5" s="1">
        <v>311500</v>
      </c>
    </row>
    <row r="6" spans="1:8">
      <c r="A6" t="s">
        <v>8</v>
      </c>
      <c r="B6" t="s">
        <v>18</v>
      </c>
      <c r="C6" t="s">
        <v>19</v>
      </c>
      <c r="D6" s="2">
        <f>_xlfn.XLOOKUP(C6,SQL!C6:C69,SQL!D6:D69)</f>
        <v>886194741160</v>
      </c>
      <c r="E6" t="s">
        <v>11</v>
      </c>
      <c r="F6" s="1">
        <v>0</v>
      </c>
      <c r="G6" s="1">
        <v>12000</v>
      </c>
      <c r="H6" s="1">
        <v>323500</v>
      </c>
    </row>
    <row r="7" spans="1:8">
      <c r="A7" t="s">
        <v>8</v>
      </c>
      <c r="B7" t="s">
        <v>20</v>
      </c>
      <c r="C7" t="s">
        <v>21</v>
      </c>
      <c r="D7" s="2">
        <f>_xlfn.XLOOKUP(C7,SQL!C7:C70,SQL!D7:D70)</f>
        <v>886194872572</v>
      </c>
      <c r="E7" t="s">
        <v>11</v>
      </c>
      <c r="F7" s="1">
        <v>0</v>
      </c>
      <c r="G7" s="1">
        <v>5000</v>
      </c>
      <c r="H7" s="1">
        <v>328500</v>
      </c>
    </row>
    <row r="8" spans="1:8">
      <c r="A8" t="s">
        <v>8</v>
      </c>
      <c r="B8" t="s">
        <v>22</v>
      </c>
      <c r="C8" t="s">
        <v>23</v>
      </c>
      <c r="D8" s="2">
        <f>_xlfn.XLOOKUP(C8,SQL!C8:C71,SQL!D8:D71)</f>
        <v>886194708707</v>
      </c>
      <c r="E8" t="s">
        <v>11</v>
      </c>
      <c r="F8" s="1">
        <v>0</v>
      </c>
      <c r="G8" s="1">
        <v>500</v>
      </c>
      <c r="H8" s="1">
        <v>329000</v>
      </c>
    </row>
    <row r="9" spans="1:8">
      <c r="A9" t="s">
        <v>8</v>
      </c>
      <c r="B9" t="s">
        <v>24</v>
      </c>
      <c r="C9" t="s">
        <v>25</v>
      </c>
      <c r="D9" s="2">
        <f>_xlfn.XLOOKUP(C9,SQL!C9:C72,SQL!D9:D72)</f>
        <v>886194502255</v>
      </c>
      <c r="E9" t="s">
        <v>11</v>
      </c>
      <c r="F9" s="1">
        <v>0</v>
      </c>
      <c r="G9" s="1">
        <v>3000</v>
      </c>
      <c r="H9" s="1">
        <v>332000</v>
      </c>
    </row>
    <row r="10" spans="1:8">
      <c r="A10" t="s">
        <v>8</v>
      </c>
      <c r="B10" t="s">
        <v>26</v>
      </c>
      <c r="C10" t="s">
        <v>27</v>
      </c>
      <c r="D10" s="2">
        <f>_xlfn.XLOOKUP(C10,SQL!C10:C73,SQL!D10:D73)</f>
        <v>886194256600</v>
      </c>
      <c r="E10" t="s">
        <v>11</v>
      </c>
      <c r="F10" s="1">
        <v>0</v>
      </c>
      <c r="G10" s="1">
        <v>500</v>
      </c>
      <c r="H10" s="1">
        <v>332500</v>
      </c>
    </row>
    <row r="11" spans="1:8">
      <c r="A11" t="s">
        <v>8</v>
      </c>
      <c r="B11" t="s">
        <v>28</v>
      </c>
      <c r="C11" t="s">
        <v>29</v>
      </c>
      <c r="D11" s="2">
        <v>886194154180</v>
      </c>
      <c r="E11" t="s">
        <v>11</v>
      </c>
      <c r="F11" s="1">
        <v>0</v>
      </c>
      <c r="G11" s="1">
        <v>12000</v>
      </c>
      <c r="H11" s="1">
        <v>344500</v>
      </c>
    </row>
    <row r="12" spans="1:8">
      <c r="A12" t="s">
        <v>8</v>
      </c>
      <c r="B12" t="s">
        <v>30</v>
      </c>
      <c r="C12" t="s">
        <v>31</v>
      </c>
      <c r="D12" s="2">
        <f>_xlfn.XLOOKUP(C12,SQL!C12:C75,SQL!D12:D75)</f>
        <v>886194682426</v>
      </c>
      <c r="E12" t="s">
        <v>11</v>
      </c>
      <c r="F12" s="1">
        <v>0</v>
      </c>
      <c r="G12" s="1">
        <v>500</v>
      </c>
      <c r="H12" s="1">
        <v>345000</v>
      </c>
    </row>
    <row r="13" spans="1:8">
      <c r="A13" t="s">
        <v>8</v>
      </c>
      <c r="B13" t="s">
        <v>32</v>
      </c>
      <c r="C13" t="s">
        <v>33</v>
      </c>
      <c r="D13" s="2">
        <f>_xlfn.XLOOKUP(C13,SQL!C13:C76,SQL!D13:D76)</f>
        <v>886194546899</v>
      </c>
      <c r="E13" t="s">
        <v>11</v>
      </c>
      <c r="F13" s="1">
        <v>0</v>
      </c>
      <c r="G13" s="1">
        <v>5000</v>
      </c>
      <c r="H13" s="1">
        <v>350000</v>
      </c>
    </row>
    <row r="14" spans="1:8">
      <c r="A14" t="s">
        <v>8</v>
      </c>
      <c r="B14" t="s">
        <v>34</v>
      </c>
      <c r="C14" t="s">
        <v>35</v>
      </c>
      <c r="D14" s="2">
        <f>_xlfn.XLOOKUP(C14,SQL!C14:C77,SQL!D14:D77)</f>
        <v>886194943311</v>
      </c>
      <c r="E14" t="s">
        <v>11</v>
      </c>
      <c r="F14" s="1">
        <v>0</v>
      </c>
      <c r="G14" s="1">
        <v>6000</v>
      </c>
      <c r="H14" s="1">
        <v>356000</v>
      </c>
    </row>
    <row r="15" spans="1:8">
      <c r="A15" t="s">
        <v>8</v>
      </c>
      <c r="B15" t="s">
        <v>36</v>
      </c>
      <c r="C15" t="s">
        <v>37</v>
      </c>
      <c r="D15" s="2">
        <f>_xlfn.XLOOKUP(C15,SQL!C15:C78,SQL!D15:D78)</f>
        <v>886194969854</v>
      </c>
      <c r="E15" t="s">
        <v>11</v>
      </c>
      <c r="F15" s="1">
        <v>0</v>
      </c>
      <c r="G15" s="1">
        <v>500</v>
      </c>
      <c r="H15" s="1">
        <v>356500</v>
      </c>
    </row>
    <row r="16" spans="1:8">
      <c r="A16" t="s">
        <v>8</v>
      </c>
      <c r="B16" t="s">
        <v>38</v>
      </c>
      <c r="C16" t="s">
        <v>39</v>
      </c>
      <c r="D16" s="2">
        <f>_xlfn.XLOOKUP(C16,SQL!C16:C79,SQL!D16:D79)</f>
        <v>886194661438</v>
      </c>
      <c r="E16" t="s">
        <v>11</v>
      </c>
      <c r="F16" s="1">
        <v>0</v>
      </c>
      <c r="G16" s="1">
        <v>3000</v>
      </c>
      <c r="H16" s="1">
        <v>359500</v>
      </c>
    </row>
    <row r="17" spans="1:8">
      <c r="A17" t="s">
        <v>8</v>
      </c>
      <c r="B17" t="s">
        <v>40</v>
      </c>
      <c r="C17" t="s">
        <v>41</v>
      </c>
      <c r="D17" s="2">
        <f>_xlfn.XLOOKUP(C17,SQL!C17:C80,SQL!D17:D80)</f>
        <v>886194358960</v>
      </c>
      <c r="E17" t="s">
        <v>11</v>
      </c>
      <c r="F17" s="1">
        <v>0</v>
      </c>
      <c r="G17" s="1">
        <v>10000</v>
      </c>
      <c r="H17" s="1">
        <v>369500</v>
      </c>
    </row>
    <row r="18" spans="1:8">
      <c r="A18" t="s">
        <v>8</v>
      </c>
      <c r="B18" t="s">
        <v>42</v>
      </c>
      <c r="C18" t="s">
        <v>43</v>
      </c>
      <c r="D18" s="2">
        <f>_xlfn.XLOOKUP(C18,SQL!C18:C81,SQL!D18:D81)</f>
        <v>886194348611</v>
      </c>
      <c r="E18" t="s">
        <v>11</v>
      </c>
      <c r="F18" s="1">
        <v>0</v>
      </c>
      <c r="G18" s="1">
        <v>1500</v>
      </c>
      <c r="H18" s="1">
        <v>371000</v>
      </c>
    </row>
    <row r="19" spans="1:8">
      <c r="A19" t="s">
        <v>8</v>
      </c>
      <c r="B19" t="s">
        <v>44</v>
      </c>
      <c r="C19" t="s">
        <v>45</v>
      </c>
      <c r="D19" s="2">
        <f>_xlfn.XLOOKUP(C19,SQL!C19:C82,SQL!D19:D82)</f>
        <v>886194846083</v>
      </c>
      <c r="E19" t="s">
        <v>11</v>
      </c>
      <c r="F19" s="1">
        <v>0</v>
      </c>
      <c r="G19" s="1">
        <v>10000</v>
      </c>
      <c r="H19" s="1">
        <v>381000</v>
      </c>
    </row>
    <row r="20" spans="1:8">
      <c r="A20" t="s">
        <v>8</v>
      </c>
      <c r="B20" t="s">
        <v>46</v>
      </c>
      <c r="C20" t="s">
        <v>47</v>
      </c>
      <c r="D20" s="2">
        <f>_xlfn.XLOOKUP(C20,SQL!C20:C83,SQL!D20:D83)</f>
        <v>886194605743</v>
      </c>
      <c r="E20" t="s">
        <v>11</v>
      </c>
      <c r="F20" s="1">
        <v>0</v>
      </c>
      <c r="G20" s="1">
        <v>10000</v>
      </c>
      <c r="H20" s="1">
        <v>391000</v>
      </c>
    </row>
    <row r="21" spans="1:8">
      <c r="A21" t="s">
        <v>8</v>
      </c>
      <c r="B21" t="s">
        <v>48</v>
      </c>
      <c r="C21" t="s">
        <v>49</v>
      </c>
      <c r="D21" s="2">
        <f>_xlfn.XLOOKUP(C21,SQL!C21:C84,SQL!D21:D84)</f>
        <v>886193673122</v>
      </c>
      <c r="E21" t="s">
        <v>50</v>
      </c>
      <c r="F21" s="1">
        <v>0</v>
      </c>
      <c r="G21" s="1">
        <v>100000</v>
      </c>
      <c r="H21" s="1">
        <v>491000</v>
      </c>
    </row>
    <row r="22" spans="1:8">
      <c r="A22" t="s">
        <v>8</v>
      </c>
      <c r="B22" t="s">
        <v>51</v>
      </c>
      <c r="C22" t="s">
        <v>52</v>
      </c>
      <c r="D22" s="2">
        <f>_xlfn.XLOOKUP(C22,SQL!C22:C85,SQL!D22:D85)</f>
        <v>886194714005</v>
      </c>
      <c r="E22" t="s">
        <v>11</v>
      </c>
      <c r="F22" s="1">
        <v>0</v>
      </c>
      <c r="G22" s="1">
        <v>500</v>
      </c>
      <c r="H22" s="1">
        <v>491500</v>
      </c>
    </row>
    <row r="23" spans="1:8">
      <c r="A23" t="s">
        <v>8</v>
      </c>
      <c r="B23" t="s">
        <v>53</v>
      </c>
      <c r="C23" t="s">
        <v>54</v>
      </c>
      <c r="D23" s="2">
        <f>_xlfn.XLOOKUP(C23,SQL!C23:C86,SQL!D23:D86)</f>
        <v>886194825445</v>
      </c>
      <c r="E23" t="s">
        <v>11</v>
      </c>
      <c r="F23" s="1">
        <v>0</v>
      </c>
      <c r="G23" s="1">
        <v>6000</v>
      </c>
      <c r="H23" s="1">
        <v>497500</v>
      </c>
    </row>
    <row r="24" spans="1:8">
      <c r="A24" t="s">
        <v>8</v>
      </c>
      <c r="B24" t="s">
        <v>55</v>
      </c>
      <c r="C24" t="s">
        <v>56</v>
      </c>
      <c r="D24" s="2">
        <v>886193704574</v>
      </c>
      <c r="E24" t="s">
        <v>50</v>
      </c>
      <c r="F24" s="1">
        <v>0</v>
      </c>
      <c r="G24" s="1">
        <v>20000</v>
      </c>
      <c r="H24" s="1">
        <v>517500</v>
      </c>
    </row>
    <row r="25" spans="1:8">
      <c r="A25" t="s">
        <v>8</v>
      </c>
      <c r="B25" t="s">
        <v>57</v>
      </c>
      <c r="C25" t="s">
        <v>58</v>
      </c>
      <c r="D25" s="2">
        <v>886193224353</v>
      </c>
      <c r="E25" t="s">
        <v>50</v>
      </c>
      <c r="F25" s="1">
        <v>0</v>
      </c>
      <c r="G25" s="1">
        <v>15000</v>
      </c>
      <c r="H25" s="1">
        <v>532500</v>
      </c>
    </row>
    <row r="26" spans="1:8">
      <c r="A26" t="s">
        <v>8</v>
      </c>
      <c r="B26" t="s">
        <v>59</v>
      </c>
      <c r="C26" t="s">
        <v>60</v>
      </c>
      <c r="D26" s="2">
        <f>_xlfn.XLOOKUP(C26,SQL!C26:C89,SQL!D26:D89)</f>
        <v>886194711376</v>
      </c>
      <c r="E26" t="s">
        <v>11</v>
      </c>
      <c r="F26" s="1">
        <v>0</v>
      </c>
      <c r="G26" s="1">
        <v>6000</v>
      </c>
      <c r="H26" s="1">
        <v>538500</v>
      </c>
    </row>
    <row r="27" spans="1:8">
      <c r="A27" t="s">
        <v>8</v>
      </c>
      <c r="B27" t="s">
        <v>61</v>
      </c>
      <c r="C27" t="s">
        <v>62</v>
      </c>
      <c r="D27" s="2">
        <f>_xlfn.XLOOKUP(C27,SQL!C27:C90,SQL!D27:D90)</f>
        <v>886194515819</v>
      </c>
      <c r="E27" t="s">
        <v>11</v>
      </c>
      <c r="F27" s="1">
        <v>0</v>
      </c>
      <c r="G27" s="1">
        <v>40000</v>
      </c>
      <c r="H27" s="1">
        <v>578500</v>
      </c>
    </row>
    <row r="28" spans="1:8">
      <c r="A28" t="s">
        <v>8</v>
      </c>
      <c r="B28" t="s">
        <v>63</v>
      </c>
      <c r="C28" t="s">
        <v>64</v>
      </c>
      <c r="D28" s="2">
        <f>_xlfn.XLOOKUP(C28,SQL!C28:C91,SQL!D28:D91)</f>
        <v>886194712318</v>
      </c>
      <c r="E28" t="s">
        <v>11</v>
      </c>
      <c r="F28" s="1">
        <v>0</v>
      </c>
      <c r="G28" s="1">
        <v>20000</v>
      </c>
      <c r="H28" s="1">
        <v>598500</v>
      </c>
    </row>
    <row r="29" spans="1:8">
      <c r="A29" t="s">
        <v>8</v>
      </c>
      <c r="B29" t="s">
        <v>65</v>
      </c>
      <c r="C29" t="s">
        <v>66</v>
      </c>
      <c r="D29" s="2">
        <v>886194823614</v>
      </c>
      <c r="E29" t="s">
        <v>11</v>
      </c>
      <c r="F29" s="1">
        <v>0</v>
      </c>
      <c r="G29" s="1">
        <v>8000</v>
      </c>
      <c r="H29" s="1">
        <v>606500</v>
      </c>
    </row>
    <row r="30" spans="1:8">
      <c r="A30" t="s">
        <v>8</v>
      </c>
      <c r="B30" t="s">
        <v>67</v>
      </c>
      <c r="C30" t="s">
        <v>68</v>
      </c>
      <c r="D30" s="2">
        <f>_xlfn.XLOOKUP(C30,SQL!C30:C93,SQL!D30:D93)</f>
        <v>886194494194</v>
      </c>
      <c r="E30" t="s">
        <v>11</v>
      </c>
      <c r="F30" s="1">
        <v>0</v>
      </c>
      <c r="G30" s="1">
        <v>16000</v>
      </c>
      <c r="H30" s="1">
        <v>622500</v>
      </c>
    </row>
    <row r="31" spans="1:8">
      <c r="A31" t="s">
        <v>8</v>
      </c>
      <c r="B31" t="s">
        <v>69</v>
      </c>
      <c r="C31" t="s">
        <v>70</v>
      </c>
      <c r="D31" s="2">
        <v>886193322764</v>
      </c>
      <c r="E31" t="s">
        <v>50</v>
      </c>
      <c r="F31" s="1">
        <v>0</v>
      </c>
      <c r="G31" s="1">
        <v>32000</v>
      </c>
      <c r="H31" s="1">
        <v>654500</v>
      </c>
    </row>
    <row r="32" spans="1:8">
      <c r="A32" t="s">
        <v>8</v>
      </c>
      <c r="B32" t="s">
        <v>71</v>
      </c>
      <c r="C32" t="s">
        <v>72</v>
      </c>
      <c r="D32" s="2">
        <f>_xlfn.XLOOKUP(C32,SQL!C32:C95,SQL!D32:D95)</f>
        <v>886194186876</v>
      </c>
      <c r="E32" t="s">
        <v>11</v>
      </c>
      <c r="F32" s="1">
        <v>0</v>
      </c>
      <c r="G32" s="1">
        <v>5000</v>
      </c>
      <c r="H32" s="1">
        <v>659500</v>
      </c>
    </row>
    <row r="33" spans="1:8">
      <c r="A33" t="s">
        <v>8</v>
      </c>
      <c r="B33" t="s">
        <v>73</v>
      </c>
      <c r="C33" t="s">
        <v>74</v>
      </c>
      <c r="D33" s="2">
        <f>_xlfn.XLOOKUP(C33,SQL!C33:C96,SQL!D33:D96)</f>
        <v>886194042979</v>
      </c>
      <c r="E33" t="s">
        <v>11</v>
      </c>
      <c r="F33" s="1">
        <v>0</v>
      </c>
      <c r="G33" s="1">
        <v>18000</v>
      </c>
      <c r="H33" s="1">
        <v>677500</v>
      </c>
    </row>
    <row r="34" spans="1:8">
      <c r="A34" t="s">
        <v>8</v>
      </c>
      <c r="B34" t="s">
        <v>75</v>
      </c>
      <c r="C34" t="s">
        <v>76</v>
      </c>
      <c r="D34" s="2">
        <f>_xlfn.XLOOKUP(C34,SQL!C34:C97,SQL!D34:D97)</f>
        <v>886194246158</v>
      </c>
      <c r="E34" t="s">
        <v>11</v>
      </c>
      <c r="F34" s="1">
        <v>0</v>
      </c>
      <c r="G34" s="1">
        <v>10000</v>
      </c>
      <c r="H34" s="1">
        <v>687500</v>
      </c>
    </row>
    <row r="35" spans="1:8">
      <c r="A35" t="s">
        <v>8</v>
      </c>
      <c r="B35" t="s">
        <v>77</v>
      </c>
      <c r="C35" t="s">
        <v>78</v>
      </c>
      <c r="D35" s="2">
        <v>886194440905</v>
      </c>
      <c r="E35" t="s">
        <v>11</v>
      </c>
      <c r="F35" s="1">
        <v>0</v>
      </c>
      <c r="G35" s="1">
        <v>21000</v>
      </c>
      <c r="H35" s="1">
        <v>708500</v>
      </c>
    </row>
    <row r="36" spans="1:8">
      <c r="A36" t="s">
        <v>8</v>
      </c>
      <c r="B36" t="s">
        <v>79</v>
      </c>
      <c r="C36" t="s">
        <v>80</v>
      </c>
      <c r="D36" s="2">
        <f>_xlfn.XLOOKUP(C36,SQL!C36:C99,SQL!D36:D99)</f>
        <v>886194423899</v>
      </c>
      <c r="E36" t="s">
        <v>11</v>
      </c>
      <c r="F36" s="1">
        <v>0</v>
      </c>
      <c r="G36" s="1">
        <v>3000</v>
      </c>
      <c r="H36" s="1">
        <v>711500</v>
      </c>
    </row>
    <row r="37" spans="1:8">
      <c r="A37" t="s">
        <v>8</v>
      </c>
      <c r="B37" t="s">
        <v>81</v>
      </c>
      <c r="C37" t="s">
        <v>82</v>
      </c>
      <c r="D37" s="2">
        <v>886194778708</v>
      </c>
      <c r="E37" t="s">
        <v>11</v>
      </c>
      <c r="F37" s="1">
        <v>0</v>
      </c>
      <c r="G37" s="1">
        <v>500</v>
      </c>
      <c r="H37" s="1">
        <v>712000</v>
      </c>
    </row>
    <row r="38" spans="1:8" ht="15">
      <c r="A38" t="s">
        <v>8</v>
      </c>
      <c r="B38" t="s">
        <v>83</v>
      </c>
      <c r="C38" t="s">
        <v>84</v>
      </c>
      <c r="D38" s="2">
        <v>886194966584</v>
      </c>
      <c r="E38" t="s">
        <v>11</v>
      </c>
      <c r="F38" s="1">
        <v>0</v>
      </c>
      <c r="G38" s="1">
        <v>500</v>
      </c>
      <c r="H38" s="1">
        <v>712500</v>
      </c>
    </row>
    <row r="39" spans="1:8">
      <c r="A39" t="s">
        <v>8</v>
      </c>
      <c r="B39" t="s">
        <v>85</v>
      </c>
      <c r="C39" t="s">
        <v>86</v>
      </c>
      <c r="D39" s="2">
        <f>_xlfn.XLOOKUP(C39,SQL!C39:C102,SQL!D39:D102)</f>
        <v>886194807832</v>
      </c>
      <c r="E39" t="s">
        <v>11</v>
      </c>
      <c r="F39" s="1">
        <v>0</v>
      </c>
      <c r="G39" s="1">
        <v>40000</v>
      </c>
      <c r="H39" s="1">
        <v>752500</v>
      </c>
    </row>
    <row r="40" spans="1:8">
      <c r="A40" t="s">
        <v>8</v>
      </c>
      <c r="B40" t="s">
        <v>87</v>
      </c>
      <c r="C40" t="s">
        <v>88</v>
      </c>
      <c r="D40" s="2">
        <v>886194893492</v>
      </c>
      <c r="E40" t="s">
        <v>11</v>
      </c>
      <c r="F40" s="1">
        <v>0</v>
      </c>
      <c r="G40" s="1">
        <v>15000</v>
      </c>
      <c r="H40" s="1">
        <v>767500</v>
      </c>
    </row>
    <row r="41" spans="1:8">
      <c r="A41" t="s">
        <v>8</v>
      </c>
      <c r="B41" t="s">
        <v>89</v>
      </c>
      <c r="C41" t="s">
        <v>90</v>
      </c>
      <c r="D41" s="2">
        <v>886194477416</v>
      </c>
      <c r="E41" t="s">
        <v>11</v>
      </c>
      <c r="F41" s="1">
        <v>0</v>
      </c>
      <c r="G41" s="1">
        <v>500</v>
      </c>
      <c r="H41" s="1">
        <v>768000</v>
      </c>
    </row>
    <row r="42" spans="1:8">
      <c r="A42" t="s">
        <v>8</v>
      </c>
      <c r="B42" t="s">
        <v>91</v>
      </c>
      <c r="C42" t="s">
        <v>92</v>
      </c>
      <c r="D42" s="2">
        <v>886194253625</v>
      </c>
      <c r="E42" t="s">
        <v>11</v>
      </c>
      <c r="F42" s="1">
        <v>0</v>
      </c>
      <c r="G42" s="1">
        <v>500</v>
      </c>
      <c r="H42" s="1">
        <v>768500</v>
      </c>
    </row>
    <row r="43" spans="1:8">
      <c r="A43" t="s">
        <v>8</v>
      </c>
      <c r="B43" t="s">
        <v>93</v>
      </c>
      <c r="C43" t="s">
        <v>94</v>
      </c>
      <c r="D43" s="2">
        <v>886194535320</v>
      </c>
      <c r="E43" t="s">
        <v>11</v>
      </c>
      <c r="F43" s="1">
        <v>0</v>
      </c>
      <c r="G43" s="1">
        <v>15000</v>
      </c>
      <c r="H43" s="1">
        <v>783500</v>
      </c>
    </row>
    <row r="44" spans="1:8">
      <c r="A44" t="s">
        <v>8</v>
      </c>
      <c r="B44" t="s">
        <v>95</v>
      </c>
      <c r="C44" t="s">
        <v>96</v>
      </c>
      <c r="D44" s="2">
        <v>886194324232</v>
      </c>
      <c r="E44" t="s">
        <v>11</v>
      </c>
      <c r="F44" s="1">
        <v>0</v>
      </c>
      <c r="G44" s="1">
        <v>500</v>
      </c>
      <c r="H44" s="1">
        <v>784000</v>
      </c>
    </row>
    <row r="45" spans="1:8">
      <c r="A45" t="s">
        <v>8</v>
      </c>
      <c r="B45" t="s">
        <v>97</v>
      </c>
      <c r="C45" t="s">
        <v>98</v>
      </c>
      <c r="D45" s="2">
        <f>_xlfn.XLOOKUP(C45,SQL!C45:C108,SQL!D45:D108)</f>
        <v>886194366826</v>
      </c>
      <c r="E45" t="s">
        <v>11</v>
      </c>
      <c r="F45" s="1">
        <v>0</v>
      </c>
      <c r="G45" s="1">
        <v>500</v>
      </c>
      <c r="H45" s="1">
        <v>784500</v>
      </c>
    </row>
    <row r="46" spans="1:8">
      <c r="A46" t="s">
        <v>8</v>
      </c>
      <c r="B46" t="s">
        <v>99</v>
      </c>
      <c r="C46" t="s">
        <v>100</v>
      </c>
      <c r="D46" s="2">
        <f>_xlfn.XLOOKUP(C46,SQL!C46:C109,SQL!D46:D109)</f>
        <v>886194092530</v>
      </c>
      <c r="E46" t="s">
        <v>11</v>
      </c>
      <c r="F46" s="1">
        <v>0</v>
      </c>
      <c r="G46" s="1">
        <v>25000</v>
      </c>
      <c r="H46" s="1">
        <v>809500</v>
      </c>
    </row>
    <row r="47" spans="1:8">
      <c r="A47" t="s">
        <v>8</v>
      </c>
      <c r="B47" t="s">
        <v>101</v>
      </c>
      <c r="C47" t="s">
        <v>102</v>
      </c>
      <c r="D47" s="2">
        <f>_xlfn.XLOOKUP(C47,SQL!C47:C110,SQL!D47:D110)</f>
        <v>876194347573</v>
      </c>
      <c r="E47" t="s">
        <v>11</v>
      </c>
      <c r="F47" s="1">
        <v>0</v>
      </c>
      <c r="G47" s="1">
        <v>90000</v>
      </c>
      <c r="H47" s="1">
        <v>899500</v>
      </c>
    </row>
    <row r="48" spans="1:8">
      <c r="A48" t="s">
        <v>8</v>
      </c>
      <c r="B48" t="s">
        <v>103</v>
      </c>
      <c r="C48" t="s">
        <v>104</v>
      </c>
      <c r="D48" s="2">
        <v>886194175145</v>
      </c>
      <c r="E48" t="s">
        <v>11</v>
      </c>
      <c r="F48" s="1">
        <v>0</v>
      </c>
      <c r="G48" s="1">
        <v>3000</v>
      </c>
      <c r="H48" s="1">
        <v>902500</v>
      </c>
    </row>
    <row r="49" spans="1:8">
      <c r="A49" t="s">
        <v>8</v>
      </c>
      <c r="B49" t="s">
        <v>105</v>
      </c>
      <c r="C49" t="s">
        <v>106</v>
      </c>
      <c r="D49" s="2">
        <v>886194799869</v>
      </c>
      <c r="E49" t="s">
        <v>11</v>
      </c>
      <c r="F49" s="1">
        <v>0</v>
      </c>
      <c r="G49" s="1">
        <v>15000</v>
      </c>
      <c r="H49" s="1">
        <v>473500</v>
      </c>
    </row>
    <row r="50" spans="1:8">
      <c r="A50" t="s">
        <v>8</v>
      </c>
      <c r="B50" t="s">
        <v>107</v>
      </c>
      <c r="C50" t="s">
        <v>108</v>
      </c>
      <c r="D50" s="2">
        <v>886194483639</v>
      </c>
      <c r="E50" t="s">
        <v>11</v>
      </c>
      <c r="F50" s="1">
        <v>0</v>
      </c>
      <c r="G50" s="1">
        <v>8000</v>
      </c>
      <c r="H50" s="1">
        <v>481500</v>
      </c>
    </row>
    <row r="51" spans="1:8">
      <c r="A51" t="s">
        <v>8</v>
      </c>
      <c r="B51" t="s">
        <v>109</v>
      </c>
      <c r="C51" t="s">
        <v>110</v>
      </c>
      <c r="D51" s="2">
        <f>_xlfn.XLOOKUP(C51,SQL!C51:C114,SQL!D51:D114)</f>
        <v>886194055649</v>
      </c>
      <c r="E51" t="s">
        <v>11</v>
      </c>
      <c r="F51" s="1">
        <v>0</v>
      </c>
      <c r="G51" s="1">
        <v>10000</v>
      </c>
      <c r="H51" s="1">
        <v>491500</v>
      </c>
    </row>
    <row r="52" spans="1:8">
      <c r="A52" t="s">
        <v>8</v>
      </c>
      <c r="B52" t="s">
        <v>111</v>
      </c>
      <c r="C52" t="s">
        <v>112</v>
      </c>
      <c r="D52" s="2">
        <v>886194010941</v>
      </c>
      <c r="E52" t="s">
        <v>11</v>
      </c>
      <c r="F52" s="1">
        <v>0</v>
      </c>
      <c r="G52" s="1">
        <v>25000</v>
      </c>
      <c r="H52" s="1">
        <v>516500</v>
      </c>
    </row>
    <row r="53" spans="1:8">
      <c r="A53" t="s">
        <v>8</v>
      </c>
      <c r="B53" t="s">
        <v>113</v>
      </c>
      <c r="C53" t="s">
        <v>114</v>
      </c>
      <c r="D53" s="2">
        <v>886194129588</v>
      </c>
      <c r="E53" t="s">
        <v>11</v>
      </c>
      <c r="F53" s="1">
        <v>0</v>
      </c>
      <c r="G53" s="1">
        <v>500</v>
      </c>
      <c r="H53" s="1">
        <v>517000</v>
      </c>
    </row>
    <row r="54" spans="1:8">
      <c r="A54" t="s">
        <v>8</v>
      </c>
      <c r="B54" t="s">
        <v>115</v>
      </c>
      <c r="C54" t="s">
        <v>116</v>
      </c>
      <c r="D54" s="2">
        <v>886194706433</v>
      </c>
      <c r="E54" t="s">
        <v>11</v>
      </c>
      <c r="F54" s="1">
        <v>0</v>
      </c>
      <c r="G54" s="1">
        <v>15000</v>
      </c>
      <c r="H54" s="1">
        <v>532000</v>
      </c>
    </row>
    <row r="55" spans="1:8">
      <c r="A55" t="s">
        <v>8</v>
      </c>
      <c r="B55" t="s">
        <v>117</v>
      </c>
      <c r="C55" t="s">
        <v>118</v>
      </c>
      <c r="D55" s="2">
        <f>_xlfn.XLOOKUP(C55,SQL!C55:C118,SQL!D55:D118)</f>
        <v>886194503557</v>
      </c>
      <c r="E55" t="s">
        <v>11</v>
      </c>
      <c r="F55" s="1">
        <v>0</v>
      </c>
      <c r="G55" s="1">
        <v>5000</v>
      </c>
      <c r="H55" s="1">
        <v>537000</v>
      </c>
    </row>
    <row r="56" spans="1:8">
      <c r="A56" t="s">
        <v>8</v>
      </c>
      <c r="B56" t="s">
        <v>119</v>
      </c>
      <c r="C56" t="s">
        <v>120</v>
      </c>
      <c r="D56" s="2">
        <v>886194896455</v>
      </c>
      <c r="E56" t="s">
        <v>11</v>
      </c>
      <c r="F56" s="1">
        <v>0</v>
      </c>
      <c r="G56" s="1">
        <v>24000</v>
      </c>
      <c r="H56" s="1">
        <v>561000</v>
      </c>
    </row>
    <row r="57" spans="1:8">
      <c r="A57" t="s">
        <v>8</v>
      </c>
      <c r="B57" t="s">
        <v>121</v>
      </c>
      <c r="C57" t="s">
        <v>122</v>
      </c>
      <c r="D57" s="2">
        <v>886194700459</v>
      </c>
      <c r="E57" t="s">
        <v>11</v>
      </c>
      <c r="F57" s="1">
        <v>0</v>
      </c>
      <c r="G57" s="1">
        <v>500</v>
      </c>
      <c r="H57" s="1">
        <v>561500</v>
      </c>
    </row>
    <row r="58" spans="1:8">
      <c r="A58" t="s">
        <v>8</v>
      </c>
      <c r="B58" t="s">
        <v>123</v>
      </c>
      <c r="C58" t="s">
        <v>124</v>
      </c>
      <c r="D58" s="2">
        <f>_xlfn.XLOOKUP(C58,SQL!C58:C121,SQL!D58:D121)</f>
        <v>886194491408</v>
      </c>
      <c r="E58" t="s">
        <v>11</v>
      </c>
      <c r="F58" s="1">
        <v>0</v>
      </c>
      <c r="G58" s="1">
        <v>5000</v>
      </c>
      <c r="H58" s="1">
        <v>566500</v>
      </c>
    </row>
    <row r="59" spans="1:8">
      <c r="A59" t="s">
        <v>8</v>
      </c>
      <c r="B59" t="s">
        <v>125</v>
      </c>
      <c r="C59" t="s">
        <v>126</v>
      </c>
      <c r="D59" s="2">
        <v>886194302292</v>
      </c>
      <c r="E59" t="s">
        <v>11</v>
      </c>
      <c r="F59" s="1">
        <v>0</v>
      </c>
      <c r="G59" s="1">
        <v>6000</v>
      </c>
      <c r="H59" s="1">
        <v>572500</v>
      </c>
    </row>
    <row r="60" spans="1:8">
      <c r="A60" t="s">
        <v>8</v>
      </c>
      <c r="B60" t="s">
        <v>127</v>
      </c>
      <c r="C60" t="s">
        <v>128</v>
      </c>
      <c r="D60" s="2">
        <v>886194475460</v>
      </c>
      <c r="E60" t="s">
        <v>11</v>
      </c>
      <c r="F60" s="1">
        <v>0</v>
      </c>
      <c r="G60" s="1">
        <v>9000</v>
      </c>
      <c r="H60" s="1">
        <v>581500</v>
      </c>
    </row>
    <row r="61" spans="1:8">
      <c r="A61" t="s">
        <v>8</v>
      </c>
      <c r="B61" t="s">
        <v>129</v>
      </c>
      <c r="C61" t="s">
        <v>130</v>
      </c>
      <c r="D61" s="2">
        <v>886194320483</v>
      </c>
      <c r="E61" t="s">
        <v>11</v>
      </c>
      <c r="F61" s="1">
        <v>0</v>
      </c>
      <c r="G61" s="1">
        <v>30000</v>
      </c>
      <c r="H61" s="1">
        <v>611500</v>
      </c>
    </row>
    <row r="62" spans="1:8">
      <c r="A62" t="s">
        <v>8</v>
      </c>
      <c r="B62" t="s">
        <v>131</v>
      </c>
      <c r="C62" t="s">
        <v>132</v>
      </c>
      <c r="D62" s="2">
        <v>886194898200</v>
      </c>
      <c r="E62" t="s">
        <v>11</v>
      </c>
      <c r="F62" s="1">
        <v>0</v>
      </c>
      <c r="G62" s="1">
        <v>1200</v>
      </c>
      <c r="H62" s="1">
        <v>612700</v>
      </c>
    </row>
    <row r="63" spans="1:8">
      <c r="A63" t="s">
        <v>8</v>
      </c>
      <c r="B63" t="s">
        <v>133</v>
      </c>
      <c r="C63" t="s">
        <v>134</v>
      </c>
      <c r="D63" s="2">
        <v>886194220874</v>
      </c>
      <c r="E63" t="s">
        <v>11</v>
      </c>
      <c r="F63" s="1">
        <v>0</v>
      </c>
      <c r="G63" s="1">
        <v>500</v>
      </c>
      <c r="H63" s="1">
        <v>613200</v>
      </c>
    </row>
    <row r="64" spans="1:8" ht="15">
      <c r="A64" t="s">
        <v>8</v>
      </c>
      <c r="B64" t="s">
        <v>135</v>
      </c>
      <c r="C64" t="s">
        <v>136</v>
      </c>
      <c r="D64" s="2">
        <v>886194302292</v>
      </c>
      <c r="E64" t="s">
        <v>11</v>
      </c>
      <c r="F64" s="1">
        <v>0</v>
      </c>
      <c r="G64" s="1">
        <v>6000</v>
      </c>
      <c r="H64" s="1">
        <v>619200</v>
      </c>
    </row>
    <row r="65" spans="1:8">
      <c r="A65" t="s">
        <v>8</v>
      </c>
      <c r="B65" t="s">
        <v>137</v>
      </c>
      <c r="C65" t="s">
        <v>138</v>
      </c>
      <c r="D65" s="2">
        <v>886194966584</v>
      </c>
      <c r="E65" t="s">
        <v>11</v>
      </c>
      <c r="F65" s="1">
        <v>0</v>
      </c>
      <c r="G65" s="1">
        <v>500</v>
      </c>
      <c r="H65" s="1">
        <v>619700</v>
      </c>
    </row>
    <row r="66" spans="1:8">
      <c r="A66" t="s">
        <v>8</v>
      </c>
      <c r="B66" t="s">
        <v>139</v>
      </c>
      <c r="C66" t="s">
        <v>140</v>
      </c>
      <c r="D66" s="2">
        <v>886194340588</v>
      </c>
      <c r="E66" t="s">
        <v>11</v>
      </c>
      <c r="F66" s="1">
        <v>0</v>
      </c>
      <c r="G66" s="1">
        <v>500</v>
      </c>
      <c r="H66" s="1">
        <v>620200</v>
      </c>
    </row>
    <row r="67" spans="1:8">
      <c r="A67" t="s">
        <v>8</v>
      </c>
      <c r="B67" t="s">
        <v>141</v>
      </c>
      <c r="C67" t="s">
        <v>142</v>
      </c>
      <c r="D67" s="2">
        <v>886194258448</v>
      </c>
      <c r="E67" t="s">
        <v>11</v>
      </c>
      <c r="F67" s="1">
        <v>0</v>
      </c>
      <c r="G67" s="1">
        <v>6000</v>
      </c>
      <c r="H67" s="1">
        <v>626200</v>
      </c>
    </row>
  </sheetData>
  <autoFilter ref="A1:H67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D65"/>
  <sheetViews>
    <sheetView workbookViewId="0">
      <selection activeCell="C1" sqref="C1:C1048576"/>
    </sheetView>
  </sheetViews>
  <sheetFormatPr defaultRowHeight="14.45"/>
  <cols>
    <col min="3" max="3" width="14.42578125" bestFit="1" customWidth="1"/>
    <col min="4" max="4" width="12.85546875" bestFit="1" customWidth="1"/>
  </cols>
  <sheetData>
    <row r="2" spans="3:4">
      <c r="C2" t="s">
        <v>70</v>
      </c>
      <c r="D2" s="2">
        <v>886193322764</v>
      </c>
    </row>
    <row r="3" spans="3:4">
      <c r="C3" t="s">
        <v>56</v>
      </c>
      <c r="D3" s="2">
        <v>886193704574</v>
      </c>
    </row>
    <row r="4" spans="3:4">
      <c r="C4" t="s">
        <v>29</v>
      </c>
      <c r="D4" s="2">
        <v>886194154180</v>
      </c>
    </row>
    <row r="5" spans="3:4">
      <c r="C5" t="s">
        <v>122</v>
      </c>
      <c r="D5" s="2">
        <v>886194700459</v>
      </c>
    </row>
    <row r="6" spans="3:4">
      <c r="C6" t="s">
        <v>88</v>
      </c>
      <c r="D6" s="2">
        <v>886194893492</v>
      </c>
    </row>
    <row r="7" spans="3:4">
      <c r="C7" t="s">
        <v>78</v>
      </c>
      <c r="D7" s="2">
        <v>886194440905</v>
      </c>
    </row>
    <row r="8" spans="3:4">
      <c r="C8" t="s">
        <v>106</v>
      </c>
      <c r="D8" s="2">
        <v>886194799869</v>
      </c>
    </row>
    <row r="9" spans="3:4">
      <c r="C9" t="s">
        <v>104</v>
      </c>
      <c r="D9" s="2">
        <v>886194175145</v>
      </c>
    </row>
    <row r="10" spans="3:4">
      <c r="C10" t="s">
        <v>17</v>
      </c>
      <c r="D10" s="2">
        <v>886194284570</v>
      </c>
    </row>
    <row r="11" spans="3:4">
      <c r="C11" t="s">
        <v>58</v>
      </c>
      <c r="D11" s="2">
        <v>886193224353</v>
      </c>
    </row>
    <row r="12" spans="3:4">
      <c r="C12" t="s">
        <v>120</v>
      </c>
      <c r="D12" s="2">
        <v>886194896455</v>
      </c>
    </row>
    <row r="13" spans="3:4">
      <c r="C13" t="s">
        <v>114</v>
      </c>
      <c r="D13" s="2">
        <v>886194129588</v>
      </c>
    </row>
    <row r="14" spans="3:4">
      <c r="C14" t="s">
        <v>140</v>
      </c>
      <c r="D14" s="2">
        <v>886194340588</v>
      </c>
    </row>
    <row r="15" spans="3:4">
      <c r="C15" t="s">
        <v>94</v>
      </c>
      <c r="D15" s="2">
        <v>886194535320</v>
      </c>
    </row>
    <row r="16" spans="3:4">
      <c r="C16" t="s">
        <v>96</v>
      </c>
      <c r="D16" s="2">
        <v>886194324232</v>
      </c>
    </row>
    <row r="17" spans="3:4">
      <c r="C17" t="s">
        <v>82</v>
      </c>
      <c r="D17" s="2">
        <v>886194778708</v>
      </c>
    </row>
    <row r="18" spans="3:4">
      <c r="C18" t="s">
        <v>128</v>
      </c>
      <c r="D18" s="2">
        <v>886194475460</v>
      </c>
    </row>
    <row r="19" spans="3:4">
      <c r="C19" t="s">
        <v>43</v>
      </c>
      <c r="D19" s="2">
        <v>886194348611</v>
      </c>
    </row>
    <row r="20" spans="3:4">
      <c r="C20" t="s">
        <v>41</v>
      </c>
      <c r="D20" s="2">
        <v>886194358960</v>
      </c>
    </row>
    <row r="21" spans="3:4">
      <c r="C21" t="s">
        <v>66</v>
      </c>
      <c r="D21" s="2">
        <v>886194823614</v>
      </c>
    </row>
    <row r="22" spans="3:4">
      <c r="C22" t="s">
        <v>116</v>
      </c>
      <c r="D22" s="2">
        <v>886194706433</v>
      </c>
    </row>
    <row r="23" spans="3:4">
      <c r="C23" t="s">
        <v>126</v>
      </c>
      <c r="D23" s="2">
        <v>886194302292</v>
      </c>
    </row>
    <row r="24" spans="3:4">
      <c r="C24" t="s">
        <v>27</v>
      </c>
      <c r="D24" s="2">
        <v>886194256600</v>
      </c>
    </row>
    <row r="25" spans="3:4">
      <c r="C25" t="s">
        <v>49</v>
      </c>
      <c r="D25" s="2">
        <v>886193673122</v>
      </c>
    </row>
    <row r="26" spans="3:4">
      <c r="C26" t="s">
        <v>108</v>
      </c>
      <c r="D26" s="2">
        <v>886194483639</v>
      </c>
    </row>
    <row r="27" spans="3:4">
      <c r="C27" t="s">
        <v>90</v>
      </c>
      <c r="D27" s="2">
        <v>886194477416</v>
      </c>
    </row>
    <row r="28" spans="3:4">
      <c r="C28" t="s">
        <v>33</v>
      </c>
      <c r="D28" s="2">
        <v>886194546899</v>
      </c>
    </row>
    <row r="29" spans="3:4">
      <c r="C29" t="s">
        <v>132</v>
      </c>
      <c r="D29" s="2">
        <v>886194898200</v>
      </c>
    </row>
    <row r="30" spans="3:4">
      <c r="C30" t="s">
        <v>52</v>
      </c>
      <c r="D30" s="2">
        <v>886194714005</v>
      </c>
    </row>
    <row r="31" spans="3:4">
      <c r="C31" t="s">
        <v>130</v>
      </c>
      <c r="D31" s="2">
        <v>886194320483</v>
      </c>
    </row>
    <row r="32" spans="3:4">
      <c r="C32" t="s">
        <v>92</v>
      </c>
      <c r="D32" s="2">
        <v>886194253625</v>
      </c>
    </row>
    <row r="33" spans="3:4">
      <c r="C33" t="s">
        <v>19</v>
      </c>
      <c r="D33" s="2">
        <v>886194741160</v>
      </c>
    </row>
    <row r="34" spans="3:4">
      <c r="C34" t="s">
        <v>134</v>
      </c>
      <c r="D34" s="2">
        <v>886194220874</v>
      </c>
    </row>
    <row r="35" spans="3:4">
      <c r="C35" t="s">
        <v>47</v>
      </c>
      <c r="D35" s="2">
        <v>886194605743</v>
      </c>
    </row>
    <row r="36" spans="3:4">
      <c r="C36" t="s">
        <v>112</v>
      </c>
      <c r="D36" s="2">
        <v>886194010941</v>
      </c>
    </row>
    <row r="37" spans="3:4">
      <c r="C37" t="s">
        <v>76</v>
      </c>
      <c r="D37" s="2">
        <v>886194246158</v>
      </c>
    </row>
    <row r="38" spans="3:4">
      <c r="C38" t="s">
        <v>62</v>
      </c>
      <c r="D38" s="2">
        <v>886194515819</v>
      </c>
    </row>
    <row r="39" spans="3:4">
      <c r="C39" t="s">
        <v>80</v>
      </c>
      <c r="D39" s="2">
        <v>886194423899</v>
      </c>
    </row>
    <row r="40" spans="3:4">
      <c r="C40" t="s">
        <v>142</v>
      </c>
      <c r="D40" s="2">
        <v>886194258448</v>
      </c>
    </row>
    <row r="41" spans="3:4">
      <c r="C41" t="s">
        <v>10</v>
      </c>
      <c r="D41" s="2">
        <v>886194985683</v>
      </c>
    </row>
    <row r="42" spans="3:4">
      <c r="C42" t="s">
        <v>86</v>
      </c>
      <c r="D42" s="2">
        <v>886194807832</v>
      </c>
    </row>
    <row r="43" spans="3:4">
      <c r="C43" t="s">
        <v>54</v>
      </c>
      <c r="D43" s="2">
        <v>886194825445</v>
      </c>
    </row>
    <row r="44" spans="3:4">
      <c r="C44" t="s">
        <v>35</v>
      </c>
      <c r="D44" s="2">
        <v>886194943311</v>
      </c>
    </row>
    <row r="45" spans="3:4">
      <c r="C45" t="s">
        <v>98</v>
      </c>
      <c r="D45" s="2">
        <v>886194366826</v>
      </c>
    </row>
    <row r="46" spans="3:4">
      <c r="C46" t="s">
        <v>23</v>
      </c>
      <c r="D46" s="2">
        <v>886194708707</v>
      </c>
    </row>
    <row r="47" spans="3:4">
      <c r="C47" t="s">
        <v>37</v>
      </c>
      <c r="D47" s="2">
        <v>886194969854</v>
      </c>
    </row>
    <row r="48" spans="3:4">
      <c r="C48" t="s">
        <v>39</v>
      </c>
      <c r="D48" s="2">
        <v>886194661438</v>
      </c>
    </row>
    <row r="49" spans="3:4">
      <c r="C49" t="s">
        <v>31</v>
      </c>
      <c r="D49" s="2">
        <v>886194682426</v>
      </c>
    </row>
    <row r="50" spans="3:4">
      <c r="C50" t="s">
        <v>72</v>
      </c>
      <c r="D50" s="2">
        <v>886194186876</v>
      </c>
    </row>
    <row r="51" spans="3:4">
      <c r="C51" t="s">
        <v>21</v>
      </c>
      <c r="D51" s="2">
        <v>886194872572</v>
      </c>
    </row>
    <row r="52" spans="3:4">
      <c r="C52" t="s">
        <v>68</v>
      </c>
      <c r="D52" s="2">
        <v>886194494194</v>
      </c>
    </row>
    <row r="53" spans="3:4">
      <c r="C53" t="s">
        <v>15</v>
      </c>
      <c r="D53" s="2">
        <v>886194590974</v>
      </c>
    </row>
    <row r="54" spans="3:4">
      <c r="C54" t="s">
        <v>102</v>
      </c>
      <c r="D54" s="2">
        <v>876194347573</v>
      </c>
    </row>
    <row r="55" spans="3:4">
      <c r="C55" t="s">
        <v>74</v>
      </c>
      <c r="D55" s="2">
        <v>886194042979</v>
      </c>
    </row>
    <row r="56" spans="3:4">
      <c r="C56" t="s">
        <v>13</v>
      </c>
      <c r="D56" s="2">
        <v>886194667963</v>
      </c>
    </row>
    <row r="57" spans="3:4">
      <c r="C57" t="s">
        <v>25</v>
      </c>
      <c r="D57" s="2">
        <v>886194502255</v>
      </c>
    </row>
    <row r="58" spans="3:4">
      <c r="C58" t="s">
        <v>64</v>
      </c>
      <c r="D58" s="2">
        <v>886194712318</v>
      </c>
    </row>
    <row r="59" spans="3:4">
      <c r="C59" t="s">
        <v>118</v>
      </c>
      <c r="D59" s="2">
        <v>886194503557</v>
      </c>
    </row>
    <row r="60" spans="3:4">
      <c r="C60" t="s">
        <v>110</v>
      </c>
      <c r="D60" s="2">
        <v>886194055649</v>
      </c>
    </row>
    <row r="61" spans="3:4">
      <c r="C61" t="s">
        <v>124</v>
      </c>
      <c r="D61" s="2">
        <v>886194491408</v>
      </c>
    </row>
    <row r="62" spans="3:4">
      <c r="C62" t="s">
        <v>45</v>
      </c>
      <c r="D62" s="2">
        <v>886194846083</v>
      </c>
    </row>
    <row r="63" spans="3:4">
      <c r="C63" t="s">
        <v>100</v>
      </c>
      <c r="D63" s="2">
        <v>886194092530</v>
      </c>
    </row>
    <row r="64" spans="3:4">
      <c r="C64" t="s">
        <v>138</v>
      </c>
      <c r="D64" s="2">
        <v>886194966584</v>
      </c>
    </row>
    <row r="65" spans="3:4">
      <c r="C65" t="s">
        <v>60</v>
      </c>
      <c r="D65" s="2">
        <v>886194711376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Grace NIRERE</cp:lastModifiedBy>
  <cp:revision/>
  <dcterms:created xsi:type="dcterms:W3CDTF">2026-07-15T10:11:14Z</dcterms:created>
  <dcterms:modified xsi:type="dcterms:W3CDTF">2026-07-15T14:43:08Z</dcterms:modified>
  <cp:category/>
  <cp:contentStatus/>
</cp:coreProperties>
</file>