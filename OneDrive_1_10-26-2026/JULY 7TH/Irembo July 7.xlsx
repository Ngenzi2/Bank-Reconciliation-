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5"/>
  <workbookPr/>
  <mc:AlternateContent xmlns:mc="http://schemas.openxmlformats.org/markup-compatibility/2006">
    <mc:Choice Requires="x15">
      <x15ac:absPath xmlns:x15ac="http://schemas.microsoft.com/office/spreadsheetml/2010/11/ac" url="https://kcbbankgroup-my.sharepoint.com/personal/rwa206217_bpr_rw/Documents/Desktop/DIGITAL BANKING/IREMBO/"/>
    </mc:Choice>
  </mc:AlternateContent>
  <xr:revisionPtr revIDLastSave="211" documentId="11_0C8E828B2E07E674DF33BB65DEAFFE61C5627E28" xr6:coauthVersionLast="47" xr6:coauthVersionMax="47" xr10:uidLastSave="{43FB92B4-71DF-4913-9991-F4A475396CD7}"/>
  <bookViews>
    <workbookView xWindow="-110" yWindow="-110" windowWidth="19420" windowHeight="10300" xr2:uid="{00000000-000D-0000-FFFF-FFFF00000000}"/>
  </bookViews>
  <sheets>
    <sheet name="Export Worksheet" sheetId="1" r:id="rId1"/>
    <sheet name="SQL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" l="1"/>
  <c r="D55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8" i="1"/>
  <c r="D19" i="1"/>
  <c r="D20" i="1"/>
  <c r="D21" i="1"/>
  <c r="D24" i="1"/>
  <c r="D25" i="1"/>
  <c r="D29" i="1"/>
  <c r="D30" i="1"/>
  <c r="D31" i="1"/>
  <c r="D32" i="1"/>
  <c r="D33" i="1"/>
  <c r="D34" i="1"/>
  <c r="D35" i="1"/>
  <c r="D37" i="1"/>
  <c r="D38" i="1"/>
  <c r="D40" i="1"/>
  <c r="D43" i="1"/>
  <c r="D44" i="1"/>
  <c r="D48" i="1"/>
  <c r="D49" i="1"/>
  <c r="D50" i="1"/>
  <c r="D51" i="1"/>
  <c r="D52" i="1"/>
  <c r="D56" i="1"/>
  <c r="D57" i="1"/>
  <c r="D58" i="1"/>
  <c r="D62" i="1"/>
  <c r="D73" i="1"/>
  <c r="D75" i="1"/>
  <c r="D78" i="1"/>
  <c r="D80" i="1"/>
  <c r="D83" i="1"/>
  <c r="D86" i="1"/>
  <c r="D93" i="1"/>
  <c r="D97" i="1"/>
</calcChain>
</file>

<file path=xl/sharedStrings.xml><?xml version="1.0" encoding="utf-8"?>
<sst xmlns="http://schemas.openxmlformats.org/spreadsheetml/2006/main" count="498" uniqueCount="209">
  <si>
    <t>BOOKING_DATE</t>
  </si>
  <si>
    <t>BANK_REFERENCE</t>
  </si>
  <si>
    <t>DESCRIPTION</t>
  </si>
  <si>
    <t>INVOICE NUMBER</t>
  </si>
  <si>
    <t>VALUE_DATE</t>
  </si>
  <si>
    <t>DEBIT</t>
  </si>
  <si>
    <t>CREDIT</t>
  </si>
  <si>
    <t>CLOSING_BALANCE</t>
  </si>
  <si>
    <t>2026-07-07</t>
  </si>
  <si>
    <t>FT26188SYK92</t>
  </si>
  <si>
    <t>SZM09SKFT5ES</t>
  </si>
  <si>
    <t>07-JUL-26</t>
  </si>
  <si>
    <t>FT26188LGZZ2</t>
  </si>
  <si>
    <t>SZR09SKU8RCL</t>
  </si>
  <si>
    <t>FT261884BLWZ</t>
  </si>
  <si>
    <t>SZK09SDB1NRA</t>
  </si>
  <si>
    <t>FT26188F5D7M</t>
  </si>
  <si>
    <t>SZG09SHM48S1</t>
  </si>
  <si>
    <t>FT26188KVB68</t>
  </si>
  <si>
    <t>SZB09R8DWQ30</t>
  </si>
  <si>
    <t>FT26188P9ZTV</t>
  </si>
  <si>
    <t>SZF09RUFV7K6</t>
  </si>
  <si>
    <t>FT26188BXF48</t>
  </si>
  <si>
    <t>SZT09R7K8LSZ</t>
  </si>
  <si>
    <t>FT26188LW3SQ</t>
  </si>
  <si>
    <t>SZA09R43K014</t>
  </si>
  <si>
    <t>FT26188Z5H3Z</t>
  </si>
  <si>
    <t>SZU09RYFCY8Q</t>
  </si>
  <si>
    <t>FT26188KNPRS</t>
  </si>
  <si>
    <t>SZ309RRVYBZ8</t>
  </si>
  <si>
    <t>FT26188KV93R</t>
  </si>
  <si>
    <t>SZS09R9TPH60</t>
  </si>
  <si>
    <t>FT261880L7YG</t>
  </si>
  <si>
    <t>SZR09R4K2SP7</t>
  </si>
  <si>
    <t>FT26188HJYSS</t>
  </si>
  <si>
    <t>SZE09RXJUT5M</t>
  </si>
  <si>
    <t>FT26188DK949</t>
  </si>
  <si>
    <t>SZN09SB94UX3</t>
  </si>
  <si>
    <t>FT26188WDS9Q</t>
  </si>
  <si>
    <t>SZ309RYC6H9B</t>
  </si>
  <si>
    <t>FT26188BRZW9</t>
  </si>
  <si>
    <t>20144474773</t>
  </si>
  <si>
    <t>FT26188QB85H</t>
  </si>
  <si>
    <t>SZT09R8BWXDN</t>
  </si>
  <si>
    <t>FT26188J774Z</t>
  </si>
  <si>
    <t>SZE09R8DKQNG</t>
  </si>
  <si>
    <t>FT26188C9H1G</t>
  </si>
  <si>
    <t>SZU09R8VAB4U</t>
  </si>
  <si>
    <t>FT26188G9TZX</t>
  </si>
  <si>
    <t>SZV09SH3XB4J</t>
  </si>
  <si>
    <t>FT26188C58L5</t>
  </si>
  <si>
    <t>SZ409RVEFZSG</t>
  </si>
  <si>
    <t>FT26188ZV4TM</t>
  </si>
  <si>
    <t>SZ209RN3BVR3</t>
  </si>
  <si>
    <t>FT26188X1PYQ</t>
  </si>
  <si>
    <t>SZM09R50566U</t>
  </si>
  <si>
    <t>FT261888RSN6</t>
  </si>
  <si>
    <t>SZZ09SDRLXZE</t>
  </si>
  <si>
    <t>FT261883Z4RF</t>
  </si>
  <si>
    <t>20144471685</t>
  </si>
  <si>
    <t>FT26188F5D72</t>
  </si>
  <si>
    <t>20144472305</t>
  </si>
  <si>
    <t>FT26188WXPV3</t>
  </si>
  <si>
    <t>SZ409R7Z2KLC</t>
  </si>
  <si>
    <t>FT2618807DKL</t>
  </si>
  <si>
    <t>SZA09RXQF2LR</t>
  </si>
  <si>
    <t>FT26188HXDQD</t>
  </si>
  <si>
    <t>SZD09RW93NMJ</t>
  </si>
  <si>
    <t>FT261882YHVB</t>
  </si>
  <si>
    <t>SZS09RVC0EX3</t>
  </si>
  <si>
    <t>FT26188WJ0XM</t>
  </si>
  <si>
    <t>SZF09R6XHEU4</t>
  </si>
  <si>
    <t>FT26188F082X</t>
  </si>
  <si>
    <t>SZG09SGXSR87</t>
  </si>
  <si>
    <t>FT26188KGFV8</t>
  </si>
  <si>
    <t>SZD09R2R3G8Z</t>
  </si>
  <si>
    <t>FT26188FLKFW</t>
  </si>
  <si>
    <t>SZR09R64363E</t>
  </si>
  <si>
    <t>FT261883HB4X</t>
  </si>
  <si>
    <t>SZ709RS4VXU4</t>
  </si>
  <si>
    <t>FT26188TDNV9</t>
  </si>
  <si>
    <t>SZT09R8KSY5A</t>
  </si>
  <si>
    <t>FT26188VBSSM</t>
  </si>
  <si>
    <t>SZS09R9HFGTB</t>
  </si>
  <si>
    <t>FT26188GMV58</t>
  </si>
  <si>
    <t>SZ509SJSM12C</t>
  </si>
  <si>
    <t>FT26188GRCKV</t>
  </si>
  <si>
    <t>SZG09R30EHCY</t>
  </si>
  <si>
    <t>FT26188GPTXJ</t>
  </si>
  <si>
    <t>SZ509SJQKXAX</t>
  </si>
  <si>
    <t>FT261882Y9Y3</t>
  </si>
  <si>
    <t>SZ309R4W10NM</t>
  </si>
  <si>
    <t>FT26188TKD83</t>
  </si>
  <si>
    <t>SZW09RZJAVL5</t>
  </si>
  <si>
    <t>FT26188571MT</t>
  </si>
  <si>
    <t>SZL09SCRA8UG</t>
  </si>
  <si>
    <t>FT26188KKDDC</t>
  </si>
  <si>
    <t>SZ409SPNEKLS</t>
  </si>
  <si>
    <t>FT26188WYF69</t>
  </si>
  <si>
    <t>SZ609R5CXPMG</t>
  </si>
  <si>
    <t>FT26188MWC8H</t>
  </si>
  <si>
    <t>SZ909RZZBLW9</t>
  </si>
  <si>
    <t>FT26188XJ8LH</t>
  </si>
  <si>
    <t>SZQ09RX9T66T</t>
  </si>
  <si>
    <t>FT261887R4LK</t>
  </si>
  <si>
    <t>SZH09R98Z5JL</t>
  </si>
  <si>
    <t>FT2618808C09</t>
  </si>
  <si>
    <t>SZK09RY5XU3Z</t>
  </si>
  <si>
    <t>FT26188J624Z</t>
  </si>
  <si>
    <t>SZY09SBN5BKR</t>
  </si>
  <si>
    <t>FT26188JPSY9</t>
  </si>
  <si>
    <t>SZR09RRMD6P8</t>
  </si>
  <si>
    <t>FT26188F40MS</t>
  </si>
  <si>
    <t>SZC09RYE6EDV</t>
  </si>
  <si>
    <t>FT26188MPJDN</t>
  </si>
  <si>
    <t>SZ009SBNFEA1</t>
  </si>
  <si>
    <t>FT26188QHK7L</t>
  </si>
  <si>
    <t>SZP09R8K8FTU</t>
  </si>
  <si>
    <t>FT26188XLG3H</t>
  </si>
  <si>
    <t>SZP09RX87XUG</t>
  </si>
  <si>
    <t>FT26188036Y2</t>
  </si>
  <si>
    <t>SZS09SKENJZG</t>
  </si>
  <si>
    <t>FT261886WZNK</t>
  </si>
  <si>
    <t>SZS09RY4RT2D</t>
  </si>
  <si>
    <t>FT261883ZD6K</t>
  </si>
  <si>
    <t>SZB09RY517PA</t>
  </si>
  <si>
    <t>FT261883Q52C</t>
  </si>
  <si>
    <t>SZK09R6NSP9G</t>
  </si>
  <si>
    <t>FT261886MZ70</t>
  </si>
  <si>
    <t>SZ209SHW0QMH</t>
  </si>
  <si>
    <t>FT26188049ML</t>
  </si>
  <si>
    <t>SZN09SPR3ZHD</t>
  </si>
  <si>
    <t>FT26188D973S</t>
  </si>
  <si>
    <t>SZ509RR900JE</t>
  </si>
  <si>
    <t>FT261887KR4K</t>
  </si>
  <si>
    <t>SZ309SKQYR9U</t>
  </si>
  <si>
    <t>FT26188NMVD1</t>
  </si>
  <si>
    <t>SZ509SBJZ51H</t>
  </si>
  <si>
    <t>FT26188DY6CB</t>
  </si>
  <si>
    <t>SZ909R86X76F</t>
  </si>
  <si>
    <t>FT26188JDFFD</t>
  </si>
  <si>
    <t>SZM09SE4HZQK</t>
  </si>
  <si>
    <t>FT26188DMKFD</t>
  </si>
  <si>
    <t>SZN09RYZZ8HN</t>
  </si>
  <si>
    <t>FT261882P7P7</t>
  </si>
  <si>
    <t>SZ509RRGWGQP</t>
  </si>
  <si>
    <t>FT2618832BRW</t>
  </si>
  <si>
    <t>SZG09SCACXCP</t>
  </si>
  <si>
    <t>FT26188TBPS3</t>
  </si>
  <si>
    <t>SZ409SLCQ9GM</t>
  </si>
  <si>
    <t>FT26188N7RQH</t>
  </si>
  <si>
    <t>SZ509RXMYCL1</t>
  </si>
  <si>
    <t>FT261884SF3Q</t>
  </si>
  <si>
    <t>SZR09R9PBXGU</t>
  </si>
  <si>
    <t>FT261882XZP3</t>
  </si>
  <si>
    <t>20144478911</t>
  </si>
  <si>
    <t>FT26188MXZ24</t>
  </si>
  <si>
    <t>SZV09R0HN9AA</t>
  </si>
  <si>
    <t>FT26188BFQSV</t>
  </si>
  <si>
    <t>SZP09R8FH9HB</t>
  </si>
  <si>
    <t>FT26188Y17VL</t>
  </si>
  <si>
    <t>SZG09RU65DG5</t>
  </si>
  <si>
    <t>FT26188QBRJL</t>
  </si>
  <si>
    <t>SZX09RP4QEP8</t>
  </si>
  <si>
    <t>FT26188QK97P</t>
  </si>
  <si>
    <t>SZ709RXMWDEL</t>
  </si>
  <si>
    <t>FT26188ZJL0K</t>
  </si>
  <si>
    <t>SZY09RX6X4HB</t>
  </si>
  <si>
    <t>FT26188ZJZ8Y</t>
  </si>
  <si>
    <t>SZA09SFEB0FD</t>
  </si>
  <si>
    <t>FT261887119L</t>
  </si>
  <si>
    <t>SZF09QR94ME6</t>
  </si>
  <si>
    <t>06-JUL-26</t>
  </si>
  <si>
    <t>FT261886YJCJ</t>
  </si>
  <si>
    <t>SZX09SGRJJRB</t>
  </si>
  <si>
    <t>FT26188H9C70</t>
  </si>
  <si>
    <t>SZ409RSCKSJ1</t>
  </si>
  <si>
    <t>FT261882F8GC</t>
  </si>
  <si>
    <t>SZ609RVLF65M</t>
  </si>
  <si>
    <t>FT26188BZHGH</t>
  </si>
  <si>
    <t>SZY09SAM9SV9</t>
  </si>
  <si>
    <t>FT26188QGFZS</t>
  </si>
  <si>
    <t>SZD09RUWVV1J</t>
  </si>
  <si>
    <t>FT26188G1D9X</t>
  </si>
  <si>
    <t>SZM09RW8NK5F</t>
  </si>
  <si>
    <t>FT261882SD74</t>
  </si>
  <si>
    <t>20144469920</t>
  </si>
  <si>
    <t>FT26188FTHYP</t>
  </si>
  <si>
    <t>SZM09SG0MM1F</t>
  </si>
  <si>
    <t>FT26188V025T</t>
  </si>
  <si>
    <t>SZC09R5UDEX3</t>
  </si>
  <si>
    <t>FT261881K5KD</t>
  </si>
  <si>
    <t>SZH09R79B0X7</t>
  </si>
  <si>
    <t>FT26188DGBYY</t>
  </si>
  <si>
    <t>SZX09SNB258W</t>
  </si>
  <si>
    <t>FT26188BTPPS</t>
  </si>
  <si>
    <t>SZ609SCGXGK2</t>
  </si>
  <si>
    <t>FT261882D00B</t>
  </si>
  <si>
    <t>SZ509RS50A5S</t>
  </si>
  <si>
    <t>FT2618870WN4</t>
  </si>
  <si>
    <t>SZ209SJWU4F6</t>
  </si>
  <si>
    <t>FT26188PQMCG</t>
  </si>
  <si>
    <t>SZZ09RY21UH1</t>
  </si>
  <si>
    <t>FT26188QRKRD</t>
  </si>
  <si>
    <t>SZX09RYANT0R</t>
  </si>
  <si>
    <t>FT26188ZZSKT</t>
  </si>
  <si>
    <t>SZP09RYDZWVT</t>
  </si>
  <si>
    <t>FT26188GKY70</t>
  </si>
  <si>
    <t>SZ909SM46866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</si>
</sst>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indexed="8"/>
      <name val="Aptos Narrow"/>
      <family val="2"/>
      <scheme val="minor"/>
    </font>
    <font>
      <sz val="11"/>
      <name val="Dialog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right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100"/>
  <sheetViews>
    <sheetView tabSelected="1" workbookViewId="0">
      <pane ySplit="1" topLeftCell="A94" activePane="bottomLeft" state="frozen"/>
      <selection pane="bottomLeft" activeCell="D3" sqref="D3"/>
    </sheetView>
  </sheetViews>
  <sheetFormatPr defaultRowHeight="14.45"/>
  <cols>
    <col min="1" max="1" width="15.140625" bestFit="1" customWidth="1"/>
    <col min="2" max="2" width="19.5703125" bestFit="1" customWidth="1"/>
    <col min="3" max="3" width="14.85546875" bestFit="1" customWidth="1"/>
    <col min="4" max="4" width="15.42578125" bestFit="1" customWidth="1"/>
    <col min="5" max="5" width="11.28515625" bestFit="1" customWidth="1"/>
    <col min="7" max="7" width="7.42578125" bestFit="1" customWidth="1"/>
    <col min="8" max="8" width="17.140625" bestFit="1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s="4">
        <f>_xlfn.XLOOKUP(C2,SQL!D1:D98,SQL!E1:E98)</f>
        <v>886188816697</v>
      </c>
      <c r="E2" t="s">
        <v>11</v>
      </c>
      <c r="F2" s="1">
        <v>0</v>
      </c>
      <c r="G2" s="1">
        <v>500</v>
      </c>
      <c r="H2" s="1">
        <v>1851970</v>
      </c>
    </row>
    <row r="3" spans="1:8">
      <c r="A3" t="s">
        <v>8</v>
      </c>
      <c r="B3" t="s">
        <v>12</v>
      </c>
      <c r="C3" t="s">
        <v>13</v>
      </c>
      <c r="D3" s="4">
        <f>_xlfn.XLOOKUP(C3,SQL!D2:D99,SQL!E2:E99)</f>
        <v>886188658324</v>
      </c>
      <c r="E3" t="s">
        <v>11</v>
      </c>
      <c r="F3" s="1">
        <v>0</v>
      </c>
      <c r="G3" s="1">
        <v>15000</v>
      </c>
      <c r="H3" s="1">
        <v>1866970</v>
      </c>
    </row>
    <row r="4" spans="1:8">
      <c r="A4" t="s">
        <v>8</v>
      </c>
      <c r="B4" t="s">
        <v>14</v>
      </c>
      <c r="C4" t="s">
        <v>15</v>
      </c>
      <c r="D4" s="4">
        <f>_xlfn.XLOOKUP(C4,SQL!D3:D100,SQL!E3:E100)</f>
        <v>886188114902</v>
      </c>
      <c r="E4" t="s">
        <v>11</v>
      </c>
      <c r="F4" s="1">
        <v>0</v>
      </c>
      <c r="G4" s="1">
        <v>10000</v>
      </c>
      <c r="H4" s="1">
        <v>1876970</v>
      </c>
    </row>
    <row r="5" spans="1:8">
      <c r="A5" t="s">
        <v>8</v>
      </c>
      <c r="B5" t="s">
        <v>16</v>
      </c>
      <c r="C5" t="s">
        <v>17</v>
      </c>
      <c r="D5" s="4">
        <f>_xlfn.XLOOKUP(C5,SQL!D4:D101,SQL!E4:E101)</f>
        <v>886188059007</v>
      </c>
      <c r="E5" t="s">
        <v>11</v>
      </c>
      <c r="F5" s="1">
        <v>0</v>
      </c>
      <c r="G5" s="1">
        <v>20000</v>
      </c>
      <c r="H5" s="1">
        <v>1896970</v>
      </c>
    </row>
    <row r="6" spans="1:8">
      <c r="A6" t="s">
        <v>8</v>
      </c>
      <c r="B6" t="s">
        <v>18</v>
      </c>
      <c r="C6" t="s">
        <v>19</v>
      </c>
      <c r="D6" s="4">
        <f>_xlfn.XLOOKUP(C6,SQL!D5:D102,SQL!E5:E102)</f>
        <v>886188338936</v>
      </c>
      <c r="E6" t="s">
        <v>11</v>
      </c>
      <c r="F6" s="1">
        <v>0</v>
      </c>
      <c r="G6" s="1">
        <v>15000</v>
      </c>
      <c r="H6" s="1">
        <v>1911970</v>
      </c>
    </row>
    <row r="7" spans="1:8">
      <c r="A7" t="s">
        <v>8</v>
      </c>
      <c r="B7" t="s">
        <v>20</v>
      </c>
      <c r="C7" t="s">
        <v>21</v>
      </c>
      <c r="D7" s="4">
        <f>_xlfn.XLOOKUP(C7,SQL!D6:D103,SQL!E6:E103)</f>
        <v>886188752304</v>
      </c>
      <c r="E7" t="s">
        <v>11</v>
      </c>
      <c r="F7" s="1">
        <v>0</v>
      </c>
      <c r="G7" s="1">
        <v>10000</v>
      </c>
      <c r="H7" s="1">
        <v>1921970</v>
      </c>
    </row>
    <row r="8" spans="1:8">
      <c r="A8" t="s">
        <v>8</v>
      </c>
      <c r="B8" t="s">
        <v>22</v>
      </c>
      <c r="C8" t="s">
        <v>23</v>
      </c>
      <c r="D8" s="4">
        <f>_xlfn.XLOOKUP(C8,SQL!D7:D104,SQL!E7:E104)</f>
        <v>876188338004</v>
      </c>
      <c r="E8" t="s">
        <v>11</v>
      </c>
      <c r="F8" s="1">
        <v>0</v>
      </c>
      <c r="G8" s="1">
        <v>13000</v>
      </c>
      <c r="H8" s="1">
        <v>1934970</v>
      </c>
    </row>
    <row r="9" spans="1:8">
      <c r="A9" t="s">
        <v>8</v>
      </c>
      <c r="B9" t="s">
        <v>24</v>
      </c>
      <c r="C9" t="s">
        <v>25</v>
      </c>
      <c r="D9" s="4">
        <f>_xlfn.XLOOKUP(C9,SQL!D8:D105,SQL!E8:E105)</f>
        <v>886188433018</v>
      </c>
      <c r="E9" t="s">
        <v>11</v>
      </c>
      <c r="F9" s="1">
        <v>0</v>
      </c>
      <c r="G9" s="1">
        <v>500</v>
      </c>
      <c r="H9" s="1">
        <v>1935470</v>
      </c>
    </row>
    <row r="10" spans="1:8">
      <c r="A10" t="s">
        <v>8</v>
      </c>
      <c r="B10" t="s">
        <v>26</v>
      </c>
      <c r="C10" t="s">
        <v>27</v>
      </c>
      <c r="D10" s="4">
        <f>_xlfn.XLOOKUP(C10,SQL!D9:D106,SQL!E9:E106)</f>
        <v>886188545985</v>
      </c>
      <c r="E10" t="s">
        <v>11</v>
      </c>
      <c r="F10" s="1">
        <v>0</v>
      </c>
      <c r="G10" s="1">
        <v>18000</v>
      </c>
      <c r="H10" s="1">
        <v>1953470</v>
      </c>
    </row>
    <row r="11" spans="1:8">
      <c r="A11" t="s">
        <v>8</v>
      </c>
      <c r="B11" t="s">
        <v>28</v>
      </c>
      <c r="C11" t="s">
        <v>29</v>
      </c>
      <c r="D11" s="4">
        <f>_xlfn.XLOOKUP(C11,SQL!D10:D107,SQL!E10:E107)</f>
        <v>886188413247</v>
      </c>
      <c r="E11" t="s">
        <v>11</v>
      </c>
      <c r="F11" s="1">
        <v>0</v>
      </c>
      <c r="G11" s="1">
        <v>40000</v>
      </c>
      <c r="H11" s="1">
        <v>1993470</v>
      </c>
    </row>
    <row r="12" spans="1:8">
      <c r="A12" t="s">
        <v>8</v>
      </c>
      <c r="B12" t="s">
        <v>30</v>
      </c>
      <c r="C12" t="s">
        <v>31</v>
      </c>
      <c r="D12" s="4">
        <f>_xlfn.XLOOKUP(C12,SQL!D11:D108,SQL!E11:E108)</f>
        <v>886188612476</v>
      </c>
      <c r="E12" t="s">
        <v>11</v>
      </c>
      <c r="F12" s="1">
        <v>0</v>
      </c>
      <c r="G12" s="1">
        <v>20000</v>
      </c>
      <c r="H12" s="1">
        <v>2013470</v>
      </c>
    </row>
    <row r="13" spans="1:8">
      <c r="A13" t="s">
        <v>8</v>
      </c>
      <c r="B13" t="s">
        <v>32</v>
      </c>
      <c r="C13" t="s">
        <v>33</v>
      </c>
      <c r="D13" s="4">
        <f>_xlfn.XLOOKUP(C13,SQL!D12:D109,SQL!E12:E109)</f>
        <v>886188114591</v>
      </c>
      <c r="E13" t="s">
        <v>11</v>
      </c>
      <c r="F13" s="1">
        <v>0</v>
      </c>
      <c r="G13" s="1">
        <v>12000</v>
      </c>
      <c r="H13" s="1">
        <v>2025470</v>
      </c>
    </row>
    <row r="14" spans="1:8">
      <c r="A14" t="s">
        <v>8</v>
      </c>
      <c r="B14" t="s">
        <v>34</v>
      </c>
      <c r="C14" t="s">
        <v>35</v>
      </c>
      <c r="D14" s="4">
        <f>_xlfn.XLOOKUP(C14,SQL!D13:D110,SQL!E13:E110)</f>
        <v>886188093408</v>
      </c>
      <c r="E14" t="s">
        <v>11</v>
      </c>
      <c r="F14" s="1">
        <v>0</v>
      </c>
      <c r="G14" s="1">
        <v>40000</v>
      </c>
      <c r="H14" s="1">
        <v>2065470</v>
      </c>
    </row>
    <row r="15" spans="1:8">
      <c r="A15" t="s">
        <v>8</v>
      </c>
      <c r="B15" t="s">
        <v>36</v>
      </c>
      <c r="C15" t="s">
        <v>37</v>
      </c>
      <c r="D15" s="4">
        <f>_xlfn.XLOOKUP(C15,SQL!D14:D111,SQL!E14:E111)</f>
        <v>886188038995</v>
      </c>
      <c r="E15" t="s">
        <v>11</v>
      </c>
      <c r="F15" s="1">
        <v>0</v>
      </c>
      <c r="G15" s="1">
        <v>10000</v>
      </c>
      <c r="H15" s="1">
        <v>2075470</v>
      </c>
    </row>
    <row r="16" spans="1:8">
      <c r="A16" t="s">
        <v>8</v>
      </c>
      <c r="B16" t="s">
        <v>38</v>
      </c>
      <c r="C16" t="s">
        <v>39</v>
      </c>
      <c r="D16" s="4">
        <v>886188303332</v>
      </c>
      <c r="E16" t="s">
        <v>11</v>
      </c>
      <c r="F16" s="1">
        <v>0</v>
      </c>
      <c r="G16" s="1">
        <v>500</v>
      </c>
      <c r="H16" s="1">
        <v>2075970</v>
      </c>
    </row>
    <row r="17" spans="1:8">
      <c r="A17" t="s">
        <v>8</v>
      </c>
      <c r="B17" t="s">
        <v>40</v>
      </c>
      <c r="C17" t="s">
        <v>41</v>
      </c>
      <c r="D17" s="4">
        <v>886188688374</v>
      </c>
      <c r="E17" t="s">
        <v>11</v>
      </c>
      <c r="F17" s="1">
        <v>0</v>
      </c>
      <c r="G17" s="1">
        <v>18000</v>
      </c>
      <c r="H17" s="1">
        <v>2093970</v>
      </c>
    </row>
    <row r="18" spans="1:8">
      <c r="A18" t="s">
        <v>8</v>
      </c>
      <c r="B18" t="s">
        <v>42</v>
      </c>
      <c r="C18" t="s">
        <v>43</v>
      </c>
      <c r="D18" s="4">
        <f>_xlfn.XLOOKUP(C18,SQL!D17:D114,SQL!E17:E114)</f>
        <v>886188741844</v>
      </c>
      <c r="E18" t="s">
        <v>11</v>
      </c>
      <c r="F18" s="1">
        <v>0</v>
      </c>
      <c r="G18" s="1">
        <v>500</v>
      </c>
      <c r="H18" s="1">
        <v>2094470</v>
      </c>
    </row>
    <row r="19" spans="1:8">
      <c r="A19" t="s">
        <v>8</v>
      </c>
      <c r="B19" t="s">
        <v>44</v>
      </c>
      <c r="C19" t="s">
        <v>45</v>
      </c>
      <c r="D19" s="4">
        <f>_xlfn.XLOOKUP(C19,SQL!D18:D115,SQL!E18:E115)</f>
        <v>886188962376</v>
      </c>
      <c r="E19" t="s">
        <v>11</v>
      </c>
      <c r="F19" s="1">
        <v>0</v>
      </c>
      <c r="G19" s="1">
        <v>500</v>
      </c>
      <c r="H19" s="1">
        <v>2094970</v>
      </c>
    </row>
    <row r="20" spans="1:8">
      <c r="A20" t="s">
        <v>8</v>
      </c>
      <c r="B20" t="s">
        <v>46</v>
      </c>
      <c r="C20" t="s">
        <v>47</v>
      </c>
      <c r="D20" s="4">
        <f>_xlfn.XLOOKUP(C20,SQL!D19:D116,SQL!E19:E116)</f>
        <v>886188107436</v>
      </c>
      <c r="E20" t="s">
        <v>11</v>
      </c>
      <c r="F20" s="1">
        <v>0</v>
      </c>
      <c r="G20" s="1">
        <v>500</v>
      </c>
      <c r="H20" s="1">
        <v>2095470</v>
      </c>
    </row>
    <row r="21" spans="1:8">
      <c r="A21" t="s">
        <v>8</v>
      </c>
      <c r="B21" t="s">
        <v>48</v>
      </c>
      <c r="C21" t="s">
        <v>49</v>
      </c>
      <c r="D21" s="4">
        <f>_xlfn.XLOOKUP(C21,SQL!D20:D117,SQL!E20:E117)</f>
        <v>886188873036</v>
      </c>
      <c r="E21" t="s">
        <v>11</v>
      </c>
      <c r="F21" s="1">
        <v>0</v>
      </c>
      <c r="G21" s="1">
        <v>500</v>
      </c>
      <c r="H21" s="1">
        <v>2095970</v>
      </c>
    </row>
    <row r="22" spans="1:8">
      <c r="A22" t="s">
        <v>8</v>
      </c>
      <c r="B22" t="s">
        <v>50</v>
      </c>
      <c r="C22" t="s">
        <v>51</v>
      </c>
      <c r="D22" s="3">
        <v>886188531253</v>
      </c>
      <c r="E22" t="s">
        <v>11</v>
      </c>
      <c r="F22" s="1">
        <v>0</v>
      </c>
      <c r="G22" s="1">
        <v>5000</v>
      </c>
      <c r="H22" s="1">
        <v>2100970</v>
      </c>
    </row>
    <row r="23" spans="1:8">
      <c r="A23" t="s">
        <v>8</v>
      </c>
      <c r="B23" t="s">
        <v>52</v>
      </c>
      <c r="C23" t="s">
        <v>53</v>
      </c>
      <c r="D23" s="3">
        <v>886188554979</v>
      </c>
      <c r="E23" t="s">
        <v>11</v>
      </c>
      <c r="F23" s="1">
        <v>0</v>
      </c>
      <c r="G23" s="1">
        <v>15000</v>
      </c>
      <c r="H23" s="1">
        <v>2115970</v>
      </c>
    </row>
    <row r="24" spans="1:8">
      <c r="A24" t="s">
        <v>8</v>
      </c>
      <c r="B24" t="s">
        <v>54</v>
      </c>
      <c r="C24" t="s">
        <v>55</v>
      </c>
      <c r="D24" s="4">
        <f>_xlfn.XLOOKUP(C24,SQL!D23:D120,SQL!E23:E120)</f>
        <v>886188280055</v>
      </c>
      <c r="E24" t="s">
        <v>11</v>
      </c>
      <c r="F24" s="1">
        <v>0</v>
      </c>
      <c r="G24" s="1">
        <v>20000</v>
      </c>
      <c r="H24" s="1">
        <v>2135970</v>
      </c>
    </row>
    <row r="25" spans="1:8">
      <c r="A25" t="s">
        <v>8</v>
      </c>
      <c r="B25" t="s">
        <v>56</v>
      </c>
      <c r="C25" t="s">
        <v>57</v>
      </c>
      <c r="D25" s="4">
        <f>_xlfn.XLOOKUP(C25,SQL!D24:D121,SQL!E24:E121)</f>
        <v>886188883309</v>
      </c>
      <c r="E25" t="s">
        <v>11</v>
      </c>
      <c r="F25" s="1">
        <v>0</v>
      </c>
      <c r="G25" s="1">
        <v>19000</v>
      </c>
      <c r="H25" s="1">
        <v>2154970</v>
      </c>
    </row>
    <row r="26" spans="1:8">
      <c r="A26" t="s">
        <v>8</v>
      </c>
      <c r="B26" t="s">
        <v>58</v>
      </c>
      <c r="C26" t="s">
        <v>59</v>
      </c>
      <c r="D26" s="3">
        <v>886188390857</v>
      </c>
      <c r="E26" t="s">
        <v>11</v>
      </c>
      <c r="F26" s="1">
        <v>0</v>
      </c>
      <c r="G26" s="1">
        <v>20000</v>
      </c>
      <c r="H26" s="1">
        <v>2174970</v>
      </c>
    </row>
    <row r="27" spans="1:8">
      <c r="A27" t="s">
        <v>8</v>
      </c>
      <c r="B27" t="s">
        <v>60</v>
      </c>
      <c r="C27" t="s">
        <v>61</v>
      </c>
      <c r="D27" s="3">
        <v>886188266989</v>
      </c>
      <c r="E27" t="s">
        <v>11</v>
      </c>
      <c r="F27" s="1">
        <v>0</v>
      </c>
      <c r="G27" s="1">
        <v>50000</v>
      </c>
      <c r="H27" s="1">
        <v>2224970</v>
      </c>
    </row>
    <row r="28" spans="1:8">
      <c r="A28" t="s">
        <v>8</v>
      </c>
      <c r="B28" t="s">
        <v>62</v>
      </c>
      <c r="C28" t="s">
        <v>63</v>
      </c>
      <c r="D28" s="3">
        <v>886188628030</v>
      </c>
      <c r="E28" t="s">
        <v>11</v>
      </c>
      <c r="F28" s="1">
        <v>0</v>
      </c>
      <c r="G28" s="1">
        <v>24000</v>
      </c>
      <c r="H28" s="1">
        <v>2248970</v>
      </c>
    </row>
    <row r="29" spans="1:8">
      <c r="A29" t="s">
        <v>8</v>
      </c>
      <c r="B29" t="s">
        <v>64</v>
      </c>
      <c r="C29" t="s">
        <v>65</v>
      </c>
      <c r="D29" s="4">
        <f>_xlfn.XLOOKUP(C29,SQL!D28:D125,SQL!E28:E125)</f>
        <v>886188858173</v>
      </c>
      <c r="E29" t="s">
        <v>11</v>
      </c>
      <c r="F29" s="1">
        <v>0</v>
      </c>
      <c r="G29" s="1">
        <v>26000</v>
      </c>
      <c r="H29" s="1">
        <v>2274970</v>
      </c>
    </row>
    <row r="30" spans="1:8">
      <c r="A30" t="s">
        <v>8</v>
      </c>
      <c r="B30" t="s">
        <v>66</v>
      </c>
      <c r="C30" t="s">
        <v>67</v>
      </c>
      <c r="D30" s="4">
        <f>_xlfn.XLOOKUP(C30,SQL!D29:D126,SQL!E29:E126)</f>
        <v>886188520170</v>
      </c>
      <c r="E30" t="s">
        <v>11</v>
      </c>
      <c r="F30" s="1">
        <v>0</v>
      </c>
      <c r="G30" s="1">
        <v>15000</v>
      </c>
      <c r="H30" s="1">
        <v>2289970</v>
      </c>
    </row>
    <row r="31" spans="1:8">
      <c r="A31" t="s">
        <v>8</v>
      </c>
      <c r="B31" t="s">
        <v>68</v>
      </c>
      <c r="C31" t="s">
        <v>69</v>
      </c>
      <c r="D31" s="4">
        <f>_xlfn.XLOOKUP(C31,SQL!D30:D127,SQL!E30:E127)</f>
        <v>886188759020</v>
      </c>
      <c r="E31" t="s">
        <v>11</v>
      </c>
      <c r="F31" s="1">
        <v>0</v>
      </c>
      <c r="G31" s="1">
        <v>30000</v>
      </c>
      <c r="H31" s="1">
        <v>2319970</v>
      </c>
    </row>
    <row r="32" spans="1:8">
      <c r="A32" t="s">
        <v>8</v>
      </c>
      <c r="B32" t="s">
        <v>70</v>
      </c>
      <c r="C32" t="s">
        <v>71</v>
      </c>
      <c r="D32" s="4">
        <f>_xlfn.XLOOKUP(C32,SQL!D31:D128,SQL!E31:E128)</f>
        <v>886188792739</v>
      </c>
      <c r="E32" t="s">
        <v>11</v>
      </c>
      <c r="F32" s="1">
        <v>0</v>
      </c>
      <c r="G32" s="1">
        <v>40000</v>
      </c>
      <c r="H32" s="1">
        <v>2359970</v>
      </c>
    </row>
    <row r="33" spans="1:8">
      <c r="A33" t="s">
        <v>8</v>
      </c>
      <c r="B33" t="s">
        <v>72</v>
      </c>
      <c r="C33" t="s">
        <v>73</v>
      </c>
      <c r="D33" s="4">
        <f>_xlfn.XLOOKUP(C33,SQL!D32:D129,SQL!E32:E129)</f>
        <v>886188412907</v>
      </c>
      <c r="E33" t="s">
        <v>11</v>
      </c>
      <c r="F33" s="1">
        <v>0</v>
      </c>
      <c r="G33" s="1">
        <v>40000</v>
      </c>
      <c r="H33" s="1">
        <v>2399970</v>
      </c>
    </row>
    <row r="34" spans="1:8">
      <c r="A34" t="s">
        <v>8</v>
      </c>
      <c r="B34" t="s">
        <v>74</v>
      </c>
      <c r="C34" t="s">
        <v>75</v>
      </c>
      <c r="D34" s="4">
        <f>_xlfn.XLOOKUP(C34,SQL!D33:D130,SQL!E33:E130)</f>
        <v>886188170442</v>
      </c>
      <c r="E34" t="s">
        <v>11</v>
      </c>
      <c r="F34" s="1">
        <v>0</v>
      </c>
      <c r="G34" s="1">
        <v>500</v>
      </c>
      <c r="H34" s="1">
        <v>2400470</v>
      </c>
    </row>
    <row r="35" spans="1:8">
      <c r="A35" t="s">
        <v>8</v>
      </c>
      <c r="B35" t="s">
        <v>76</v>
      </c>
      <c r="C35" t="s">
        <v>77</v>
      </c>
      <c r="D35" s="4">
        <f>_xlfn.XLOOKUP(C35,SQL!D34:D131,SQL!E34:E131)</f>
        <v>886188737233</v>
      </c>
      <c r="E35" t="s">
        <v>11</v>
      </c>
      <c r="F35" s="1">
        <v>0</v>
      </c>
      <c r="G35" s="1">
        <v>20000</v>
      </c>
      <c r="H35" s="1">
        <v>2420470</v>
      </c>
    </row>
    <row r="36" spans="1:8">
      <c r="A36" t="s">
        <v>8</v>
      </c>
      <c r="B36" t="s">
        <v>78</v>
      </c>
      <c r="C36" t="s">
        <v>79</v>
      </c>
      <c r="D36" s="3">
        <v>886188869953</v>
      </c>
      <c r="E36" t="s">
        <v>11</v>
      </c>
      <c r="F36" s="1">
        <v>0</v>
      </c>
      <c r="G36" s="1">
        <v>6000</v>
      </c>
      <c r="H36" s="1">
        <v>2426470</v>
      </c>
    </row>
    <row r="37" spans="1:8">
      <c r="A37" t="s">
        <v>8</v>
      </c>
      <c r="B37" t="s">
        <v>80</v>
      </c>
      <c r="C37" t="s">
        <v>81</v>
      </c>
      <c r="D37" s="4">
        <f>_xlfn.XLOOKUP(C37,SQL!D36:D133,SQL!E36:E133)</f>
        <v>886188885897</v>
      </c>
      <c r="E37" t="s">
        <v>11</v>
      </c>
      <c r="F37" s="1">
        <v>0</v>
      </c>
      <c r="G37" s="1">
        <v>5000</v>
      </c>
      <c r="H37" s="1">
        <v>2431470</v>
      </c>
    </row>
    <row r="38" spans="1:8">
      <c r="A38" t="s">
        <v>8</v>
      </c>
      <c r="B38" t="s">
        <v>82</v>
      </c>
      <c r="C38" t="s">
        <v>83</v>
      </c>
      <c r="D38" s="4">
        <f>_xlfn.XLOOKUP(C38,SQL!D37:D134,SQL!E37:E134)</f>
        <v>886188482938</v>
      </c>
      <c r="E38" t="s">
        <v>11</v>
      </c>
      <c r="F38" s="1">
        <v>0</v>
      </c>
      <c r="G38" s="1">
        <v>3000</v>
      </c>
      <c r="H38" s="1">
        <v>2434470</v>
      </c>
    </row>
    <row r="39" spans="1:8">
      <c r="A39" t="s">
        <v>8</v>
      </c>
      <c r="B39" t="s">
        <v>84</v>
      </c>
      <c r="C39" t="s">
        <v>85</v>
      </c>
      <c r="D39" s="3">
        <v>886188475945</v>
      </c>
      <c r="E39" t="s">
        <v>11</v>
      </c>
      <c r="F39" s="1">
        <v>0</v>
      </c>
      <c r="G39" s="1">
        <v>500</v>
      </c>
      <c r="H39" s="1">
        <v>2434970</v>
      </c>
    </row>
    <row r="40" spans="1:8">
      <c r="A40" t="s">
        <v>8</v>
      </c>
      <c r="B40" t="s">
        <v>86</v>
      </c>
      <c r="C40" t="s">
        <v>87</v>
      </c>
      <c r="D40" s="4">
        <f>_xlfn.XLOOKUP(C40,SQL!D39:D136,SQL!E39:E136)</f>
        <v>886188561099</v>
      </c>
      <c r="E40" t="s">
        <v>11</v>
      </c>
      <c r="F40" s="1">
        <v>0</v>
      </c>
      <c r="G40" s="1">
        <v>16000</v>
      </c>
      <c r="H40" s="1">
        <v>2450970</v>
      </c>
    </row>
    <row r="41" spans="1:8">
      <c r="A41" t="s">
        <v>8</v>
      </c>
      <c r="B41" t="s">
        <v>88</v>
      </c>
      <c r="C41" t="s">
        <v>89</v>
      </c>
      <c r="D41" s="3">
        <v>886188865207</v>
      </c>
      <c r="E41" t="s">
        <v>11</v>
      </c>
      <c r="F41" s="1">
        <v>0</v>
      </c>
      <c r="G41" s="1">
        <v>15000</v>
      </c>
      <c r="H41" s="1">
        <v>2465970</v>
      </c>
    </row>
    <row r="42" spans="1:8">
      <c r="A42" t="s">
        <v>8</v>
      </c>
      <c r="B42" t="s">
        <v>90</v>
      </c>
      <c r="C42" t="s">
        <v>91</v>
      </c>
      <c r="D42" s="3">
        <v>886188289202</v>
      </c>
      <c r="E42" t="s">
        <v>11</v>
      </c>
      <c r="F42" s="1">
        <v>0</v>
      </c>
      <c r="G42" s="1">
        <v>15000</v>
      </c>
      <c r="H42" s="1">
        <v>2480970</v>
      </c>
    </row>
    <row r="43" spans="1:8">
      <c r="A43" t="s">
        <v>8</v>
      </c>
      <c r="B43" t="s">
        <v>92</v>
      </c>
      <c r="C43" t="s">
        <v>93</v>
      </c>
      <c r="D43" s="4">
        <f>_xlfn.XLOOKUP(C43,SQL!D42:D139,SQL!E42:E139)</f>
        <v>886188462340</v>
      </c>
      <c r="E43" t="s">
        <v>11</v>
      </c>
      <c r="F43" s="1">
        <v>0</v>
      </c>
      <c r="G43" s="1">
        <v>16000</v>
      </c>
      <c r="H43" s="1">
        <v>2496970</v>
      </c>
    </row>
    <row r="44" spans="1:8">
      <c r="A44" t="s">
        <v>8</v>
      </c>
      <c r="B44" t="s">
        <v>94</v>
      </c>
      <c r="C44" t="s">
        <v>95</v>
      </c>
      <c r="D44" s="4">
        <f>_xlfn.XLOOKUP(C44,SQL!D43:D140,SQL!E43:E140)</f>
        <v>886188809558</v>
      </c>
      <c r="E44" t="s">
        <v>11</v>
      </c>
      <c r="F44" s="1">
        <v>0</v>
      </c>
      <c r="G44" s="1">
        <v>15000</v>
      </c>
      <c r="H44" s="1">
        <v>2511970</v>
      </c>
    </row>
    <row r="45" spans="1:8">
      <c r="A45" t="s">
        <v>8</v>
      </c>
      <c r="B45" t="s">
        <v>96</v>
      </c>
      <c r="C45" t="s">
        <v>97</v>
      </c>
      <c r="D45" s="3">
        <v>886188283483</v>
      </c>
      <c r="E45" t="s">
        <v>11</v>
      </c>
      <c r="F45" s="1">
        <v>0</v>
      </c>
      <c r="G45" s="1">
        <v>15000</v>
      </c>
      <c r="H45" s="1">
        <v>2526970</v>
      </c>
    </row>
    <row r="46" spans="1:8">
      <c r="A46" t="s">
        <v>8</v>
      </c>
      <c r="B46" t="s">
        <v>98</v>
      </c>
      <c r="C46" t="s">
        <v>99</v>
      </c>
      <c r="D46" s="3">
        <v>886188977878</v>
      </c>
      <c r="E46" t="s">
        <v>11</v>
      </c>
      <c r="F46" s="1">
        <v>0</v>
      </c>
      <c r="G46" s="1">
        <v>500</v>
      </c>
      <c r="H46" s="1">
        <v>2527470</v>
      </c>
    </row>
    <row r="47" spans="1:8">
      <c r="A47" t="s">
        <v>8</v>
      </c>
      <c r="B47" t="s">
        <v>100</v>
      </c>
      <c r="C47" t="s">
        <v>101</v>
      </c>
      <c r="D47" s="3">
        <v>886188831025</v>
      </c>
      <c r="E47" t="s">
        <v>11</v>
      </c>
      <c r="F47" s="1">
        <v>0</v>
      </c>
      <c r="G47" s="1">
        <v>15000</v>
      </c>
      <c r="H47" s="1">
        <v>2542470</v>
      </c>
    </row>
    <row r="48" spans="1:8">
      <c r="A48" t="s">
        <v>8</v>
      </c>
      <c r="B48" t="s">
        <v>102</v>
      </c>
      <c r="C48" t="s">
        <v>103</v>
      </c>
      <c r="D48" s="4">
        <f>_xlfn.XLOOKUP(C48,SQL!D47:D144,SQL!E47:E144)</f>
        <v>886188323475</v>
      </c>
      <c r="E48" t="s">
        <v>11</v>
      </c>
      <c r="F48" s="1">
        <v>0</v>
      </c>
      <c r="G48" s="1">
        <v>15000</v>
      </c>
      <c r="H48" s="1">
        <v>2557470</v>
      </c>
    </row>
    <row r="49" spans="1:8">
      <c r="A49" t="s">
        <v>8</v>
      </c>
      <c r="B49" t="s">
        <v>104</v>
      </c>
      <c r="C49" t="s">
        <v>105</v>
      </c>
      <c r="D49" s="4">
        <f>_xlfn.XLOOKUP(C49,SQL!D48:D145,SQL!E48:E145)</f>
        <v>886188741729</v>
      </c>
      <c r="E49" t="s">
        <v>11</v>
      </c>
      <c r="F49" s="1">
        <v>0</v>
      </c>
      <c r="G49" s="1">
        <v>10000</v>
      </c>
      <c r="H49" s="1">
        <v>2567470</v>
      </c>
    </row>
    <row r="50" spans="1:8">
      <c r="A50" t="s">
        <v>8</v>
      </c>
      <c r="B50" t="s">
        <v>106</v>
      </c>
      <c r="C50" t="s">
        <v>107</v>
      </c>
      <c r="D50" s="4">
        <f>_xlfn.XLOOKUP(C50,SQL!D49:D146,SQL!E49:E146)</f>
        <v>886188640629</v>
      </c>
      <c r="E50" t="s">
        <v>11</v>
      </c>
      <c r="F50" s="1">
        <v>0</v>
      </c>
      <c r="G50" s="1">
        <v>40000</v>
      </c>
      <c r="H50" s="1">
        <v>2607470</v>
      </c>
    </row>
    <row r="51" spans="1:8">
      <c r="A51" t="s">
        <v>8</v>
      </c>
      <c r="B51" t="s">
        <v>108</v>
      </c>
      <c r="C51" t="s">
        <v>109</v>
      </c>
      <c r="D51" s="4">
        <f>_xlfn.XLOOKUP(C51,SQL!D50:D147,SQL!E50:E147)</f>
        <v>886188643940</v>
      </c>
      <c r="E51" t="s">
        <v>11</v>
      </c>
      <c r="F51" s="1">
        <v>0</v>
      </c>
      <c r="G51" s="1">
        <v>10000</v>
      </c>
      <c r="H51" s="1">
        <v>2617470</v>
      </c>
    </row>
    <row r="52" spans="1:8">
      <c r="A52" t="s">
        <v>8</v>
      </c>
      <c r="B52" t="s">
        <v>110</v>
      </c>
      <c r="C52" t="s">
        <v>111</v>
      </c>
      <c r="D52" s="4">
        <f>_xlfn.XLOOKUP(C52,SQL!D51:D148,SQL!E51:E148)</f>
        <v>886188585145</v>
      </c>
      <c r="E52" t="s">
        <v>11</v>
      </c>
      <c r="F52" s="1">
        <v>0</v>
      </c>
      <c r="G52" s="1">
        <v>26000</v>
      </c>
      <c r="H52" s="1">
        <v>2643470</v>
      </c>
    </row>
    <row r="53" spans="1:8">
      <c r="A53" t="s">
        <v>8</v>
      </c>
      <c r="B53" t="s">
        <v>112</v>
      </c>
      <c r="C53" t="s">
        <v>113</v>
      </c>
      <c r="D53" s="3">
        <v>886188214541</v>
      </c>
      <c r="E53" t="s">
        <v>11</v>
      </c>
      <c r="F53" s="1">
        <v>0</v>
      </c>
      <c r="G53" s="1">
        <v>25000</v>
      </c>
      <c r="H53" s="1">
        <v>2668470</v>
      </c>
    </row>
    <row r="54" spans="1:8">
      <c r="A54" t="s">
        <v>8</v>
      </c>
      <c r="B54" t="s">
        <v>114</v>
      </c>
      <c r="C54" t="s">
        <v>115</v>
      </c>
      <c r="D54" s="3">
        <v>886188939218</v>
      </c>
      <c r="E54" t="s">
        <v>11</v>
      </c>
      <c r="F54" s="1">
        <v>0</v>
      </c>
      <c r="G54" s="1">
        <v>20000</v>
      </c>
      <c r="H54" s="1">
        <v>2688470</v>
      </c>
    </row>
    <row r="55" spans="1:8">
      <c r="A55" t="s">
        <v>8</v>
      </c>
      <c r="B55" t="s">
        <v>116</v>
      </c>
      <c r="C55" t="s">
        <v>117</v>
      </c>
      <c r="D55" s="4">
        <f>_xlfn.XLOOKUP(C55,SQL!D54:D151,SQL!E54:E151)</f>
        <v>886188330700</v>
      </c>
      <c r="E55" t="s">
        <v>11</v>
      </c>
      <c r="F55" s="1">
        <v>0</v>
      </c>
      <c r="G55" s="1">
        <v>15000</v>
      </c>
      <c r="H55" s="1">
        <v>2703470</v>
      </c>
    </row>
    <row r="56" spans="1:8">
      <c r="A56" t="s">
        <v>8</v>
      </c>
      <c r="B56" t="s">
        <v>118</v>
      </c>
      <c r="C56" t="s">
        <v>119</v>
      </c>
      <c r="D56" s="4">
        <f>_xlfn.XLOOKUP(C56,SQL!D55:D152,SQL!E55:E152)</f>
        <v>886185649810</v>
      </c>
      <c r="E56" t="s">
        <v>11</v>
      </c>
      <c r="F56" s="1">
        <v>0</v>
      </c>
      <c r="G56" s="1">
        <v>100000</v>
      </c>
      <c r="H56" s="1">
        <v>2803470</v>
      </c>
    </row>
    <row r="57" spans="1:8">
      <c r="A57" t="s">
        <v>8</v>
      </c>
      <c r="B57" t="s">
        <v>120</v>
      </c>
      <c r="C57" t="s">
        <v>121</v>
      </c>
      <c r="D57" s="4">
        <f>_xlfn.XLOOKUP(C57,SQL!D56:D153,SQL!E56:E153)</f>
        <v>886188420300</v>
      </c>
      <c r="E57" t="s">
        <v>11</v>
      </c>
      <c r="F57" s="1">
        <v>0</v>
      </c>
      <c r="G57" s="1">
        <v>40000</v>
      </c>
      <c r="H57" s="1">
        <v>2843470</v>
      </c>
    </row>
    <row r="58" spans="1:8">
      <c r="A58" t="s">
        <v>8</v>
      </c>
      <c r="B58" t="s">
        <v>122</v>
      </c>
      <c r="C58" t="s">
        <v>123</v>
      </c>
      <c r="D58" s="4">
        <f>_xlfn.XLOOKUP(C58,SQL!D57:D154,SQL!E57:E154)</f>
        <v>886188807331</v>
      </c>
      <c r="E58" t="s">
        <v>11</v>
      </c>
      <c r="F58" s="1">
        <v>0</v>
      </c>
      <c r="G58" s="1">
        <v>40000</v>
      </c>
      <c r="H58" s="1">
        <v>2883470</v>
      </c>
    </row>
    <row r="59" spans="1:8">
      <c r="A59" t="s">
        <v>8</v>
      </c>
      <c r="B59" t="s">
        <v>124</v>
      </c>
      <c r="C59" t="s">
        <v>125</v>
      </c>
      <c r="D59" s="3">
        <v>886188166234</v>
      </c>
      <c r="E59" t="s">
        <v>11</v>
      </c>
      <c r="F59" s="1">
        <v>0</v>
      </c>
      <c r="G59" s="1">
        <v>16638</v>
      </c>
      <c r="H59" s="1">
        <v>2900108</v>
      </c>
    </row>
    <row r="60" spans="1:8">
      <c r="A60" t="s">
        <v>8</v>
      </c>
      <c r="B60" t="s">
        <v>126</v>
      </c>
      <c r="C60" t="s">
        <v>127</v>
      </c>
      <c r="D60" s="3">
        <v>886188800366</v>
      </c>
      <c r="E60" t="s">
        <v>11</v>
      </c>
      <c r="F60" s="1">
        <v>0</v>
      </c>
      <c r="G60" s="1">
        <v>16638</v>
      </c>
      <c r="H60" s="1">
        <v>2916746</v>
      </c>
    </row>
    <row r="61" spans="1:8">
      <c r="A61" t="s">
        <v>8</v>
      </c>
      <c r="B61" t="s">
        <v>128</v>
      </c>
      <c r="C61" t="s">
        <v>129</v>
      </c>
      <c r="D61" s="3">
        <v>886188471955</v>
      </c>
      <c r="E61" t="s">
        <v>11</v>
      </c>
      <c r="F61" s="1">
        <v>0</v>
      </c>
      <c r="G61" s="1">
        <v>500</v>
      </c>
      <c r="H61" s="1">
        <v>2917246</v>
      </c>
    </row>
    <row r="62" spans="1:8">
      <c r="A62" t="s">
        <v>8</v>
      </c>
      <c r="B62" t="s">
        <v>130</v>
      </c>
      <c r="C62" t="s">
        <v>131</v>
      </c>
      <c r="D62" s="4">
        <f>_xlfn.XLOOKUP(C62,SQL!D61:D158,SQL!E61:E158)</f>
        <v>886188844787</v>
      </c>
      <c r="E62" t="s">
        <v>11</v>
      </c>
      <c r="F62" s="1">
        <v>0</v>
      </c>
      <c r="G62" s="1">
        <v>3000</v>
      </c>
      <c r="H62" s="1">
        <v>2920246</v>
      </c>
    </row>
    <row r="63" spans="1:8">
      <c r="A63" t="s">
        <v>8</v>
      </c>
      <c r="B63" t="s">
        <v>132</v>
      </c>
      <c r="C63" t="s">
        <v>133</v>
      </c>
      <c r="D63" s="3">
        <v>886188241040</v>
      </c>
      <c r="E63" t="s">
        <v>11</v>
      </c>
      <c r="F63" s="1">
        <v>0</v>
      </c>
      <c r="G63" s="1">
        <v>12000</v>
      </c>
      <c r="H63" s="1">
        <v>2932246</v>
      </c>
    </row>
    <row r="64" spans="1:8">
      <c r="A64" t="s">
        <v>8</v>
      </c>
      <c r="B64" t="s">
        <v>134</v>
      </c>
      <c r="C64" t="s">
        <v>135</v>
      </c>
      <c r="D64" s="3">
        <v>886188081339</v>
      </c>
      <c r="E64" t="s">
        <v>11</v>
      </c>
      <c r="F64" s="1">
        <v>0</v>
      </c>
      <c r="G64" s="1">
        <v>500</v>
      </c>
      <c r="H64" s="1">
        <v>2932746</v>
      </c>
    </row>
    <row r="65" spans="1:8">
      <c r="A65" t="s">
        <v>8</v>
      </c>
      <c r="B65" t="s">
        <v>136</v>
      </c>
      <c r="C65" t="s">
        <v>137</v>
      </c>
      <c r="D65" s="3">
        <v>886188982647</v>
      </c>
      <c r="E65" t="s">
        <v>11</v>
      </c>
      <c r="F65" s="1">
        <v>0</v>
      </c>
      <c r="G65" s="1">
        <v>20000</v>
      </c>
      <c r="H65" s="1">
        <v>2952746</v>
      </c>
    </row>
    <row r="66" spans="1:8">
      <c r="A66" t="s">
        <v>8</v>
      </c>
      <c r="B66" t="s">
        <v>138</v>
      </c>
      <c r="C66" t="s">
        <v>139</v>
      </c>
      <c r="D66" s="3">
        <v>886188791806</v>
      </c>
      <c r="E66" t="s">
        <v>11</v>
      </c>
      <c r="F66" s="1">
        <v>0</v>
      </c>
      <c r="G66" s="1">
        <v>500</v>
      </c>
      <c r="H66" s="1">
        <v>2953246</v>
      </c>
    </row>
    <row r="67" spans="1:8">
      <c r="A67" t="s">
        <v>8</v>
      </c>
      <c r="B67" t="s">
        <v>140</v>
      </c>
      <c r="C67" t="s">
        <v>141</v>
      </c>
      <c r="D67" s="3">
        <v>886188428821</v>
      </c>
      <c r="E67" t="s">
        <v>11</v>
      </c>
      <c r="F67" s="1">
        <v>0</v>
      </c>
      <c r="G67" s="1">
        <v>15000</v>
      </c>
      <c r="H67" s="1">
        <v>2968246</v>
      </c>
    </row>
    <row r="68" spans="1:8">
      <c r="A68" t="s">
        <v>8</v>
      </c>
      <c r="B68" t="s">
        <v>142</v>
      </c>
      <c r="C68" t="s">
        <v>143</v>
      </c>
      <c r="D68" s="3">
        <v>886188840426</v>
      </c>
      <c r="E68" t="s">
        <v>11</v>
      </c>
      <c r="F68" s="1">
        <v>0</v>
      </c>
      <c r="G68" s="1">
        <v>3000</v>
      </c>
      <c r="H68" s="1">
        <v>2971246</v>
      </c>
    </row>
    <row r="69" spans="1:8">
      <c r="A69" t="s">
        <v>8</v>
      </c>
      <c r="B69" t="s">
        <v>144</v>
      </c>
      <c r="C69" t="s">
        <v>145</v>
      </c>
      <c r="D69" s="3">
        <v>886188902915</v>
      </c>
      <c r="E69" t="s">
        <v>11</v>
      </c>
      <c r="F69" s="1">
        <v>0</v>
      </c>
      <c r="G69" s="1">
        <v>8000</v>
      </c>
      <c r="H69" s="1">
        <v>2979246</v>
      </c>
    </row>
    <row r="70" spans="1:8">
      <c r="A70" t="s">
        <v>8</v>
      </c>
      <c r="B70" t="s">
        <v>146</v>
      </c>
      <c r="C70" t="s">
        <v>147</v>
      </c>
      <c r="D70" s="3">
        <v>886188225399</v>
      </c>
      <c r="E70" t="s">
        <v>11</v>
      </c>
      <c r="F70" s="1">
        <v>0</v>
      </c>
      <c r="G70" s="1">
        <v>500</v>
      </c>
      <c r="H70" s="1">
        <v>2979746</v>
      </c>
    </row>
    <row r="71" spans="1:8">
      <c r="A71" t="s">
        <v>8</v>
      </c>
      <c r="B71" t="s">
        <v>148</v>
      </c>
      <c r="C71" t="s">
        <v>149</v>
      </c>
      <c r="D71" s="3">
        <v>886188248944</v>
      </c>
      <c r="E71" t="s">
        <v>11</v>
      </c>
      <c r="F71" s="1">
        <v>0</v>
      </c>
      <c r="G71" s="1">
        <v>100000</v>
      </c>
      <c r="H71" s="1">
        <v>3079746</v>
      </c>
    </row>
    <row r="72" spans="1:8">
      <c r="A72" t="s">
        <v>8</v>
      </c>
      <c r="B72" t="s">
        <v>150</v>
      </c>
      <c r="C72" t="s">
        <v>151</v>
      </c>
      <c r="D72" s="3">
        <v>886188890747</v>
      </c>
      <c r="E72" t="s">
        <v>11</v>
      </c>
      <c r="F72" s="1">
        <v>0</v>
      </c>
      <c r="G72" s="1">
        <v>35000</v>
      </c>
      <c r="H72" s="1">
        <v>3114746</v>
      </c>
    </row>
    <row r="73" spans="1:8">
      <c r="A73" t="s">
        <v>8</v>
      </c>
      <c r="B73" t="s">
        <v>152</v>
      </c>
      <c r="C73" t="s">
        <v>153</v>
      </c>
      <c r="D73" s="4">
        <f>_xlfn.XLOOKUP(C73,SQL!D72:D169,SQL!E72:E169)</f>
        <v>886188030656</v>
      </c>
      <c r="E73" t="s">
        <v>11</v>
      </c>
      <c r="F73" s="1">
        <v>0</v>
      </c>
      <c r="G73" s="1">
        <v>10000</v>
      </c>
      <c r="H73" s="1">
        <v>3124746</v>
      </c>
    </row>
    <row r="74" spans="1:8">
      <c r="A74" t="s">
        <v>8</v>
      </c>
      <c r="B74" t="s">
        <v>154</v>
      </c>
      <c r="C74" t="s">
        <v>155</v>
      </c>
      <c r="D74" s="4"/>
      <c r="E74" t="s">
        <v>11</v>
      </c>
      <c r="F74" s="1">
        <v>0</v>
      </c>
      <c r="G74" s="1">
        <v>35000</v>
      </c>
      <c r="H74" s="1">
        <v>3159746</v>
      </c>
    </row>
    <row r="75" spans="1:8">
      <c r="A75" t="s">
        <v>8</v>
      </c>
      <c r="B75" t="s">
        <v>156</v>
      </c>
      <c r="C75" t="s">
        <v>157</v>
      </c>
      <c r="D75" s="4">
        <f>_xlfn.XLOOKUP(C75,SQL!D74:D171,SQL!E74:E171)</f>
        <v>886188047507</v>
      </c>
      <c r="E75" t="s">
        <v>11</v>
      </c>
      <c r="F75" s="1">
        <v>0</v>
      </c>
      <c r="G75" s="1">
        <v>6000</v>
      </c>
      <c r="H75" s="1">
        <v>3165746</v>
      </c>
    </row>
    <row r="76" spans="1:8">
      <c r="A76" t="s">
        <v>8</v>
      </c>
      <c r="B76" t="s">
        <v>158</v>
      </c>
      <c r="C76" t="s">
        <v>159</v>
      </c>
      <c r="D76" s="3">
        <v>886188815206</v>
      </c>
      <c r="E76" t="s">
        <v>11</v>
      </c>
      <c r="F76" s="1">
        <v>0</v>
      </c>
      <c r="G76" s="1">
        <v>500</v>
      </c>
      <c r="H76" s="1">
        <v>3166246</v>
      </c>
    </row>
    <row r="77" spans="1:8">
      <c r="A77" t="s">
        <v>8</v>
      </c>
      <c r="B77" t="s">
        <v>160</v>
      </c>
      <c r="C77" t="s">
        <v>161</v>
      </c>
      <c r="D77" s="3">
        <v>886188595712</v>
      </c>
      <c r="E77" t="s">
        <v>11</v>
      </c>
      <c r="F77" s="1">
        <v>0</v>
      </c>
      <c r="G77" s="1">
        <v>26000</v>
      </c>
      <c r="H77" s="1">
        <v>3192246</v>
      </c>
    </row>
    <row r="78" spans="1:8">
      <c r="A78" t="s">
        <v>8</v>
      </c>
      <c r="B78" t="s">
        <v>162</v>
      </c>
      <c r="C78" t="s">
        <v>163</v>
      </c>
      <c r="D78" s="4">
        <f>_xlfn.XLOOKUP(C78,SQL!D77:D174,SQL!E77:E174)</f>
        <v>886188074651</v>
      </c>
      <c r="E78" t="s">
        <v>11</v>
      </c>
      <c r="F78" s="1">
        <v>0</v>
      </c>
      <c r="G78" s="1">
        <v>21000</v>
      </c>
      <c r="H78" s="1">
        <v>3213246</v>
      </c>
    </row>
    <row r="79" spans="1:8">
      <c r="A79" t="s">
        <v>8</v>
      </c>
      <c r="B79" t="s">
        <v>164</v>
      </c>
      <c r="C79" t="s">
        <v>165</v>
      </c>
      <c r="D79" s="3">
        <v>886188043255</v>
      </c>
      <c r="E79" t="s">
        <v>11</v>
      </c>
      <c r="F79" s="1">
        <v>0</v>
      </c>
      <c r="G79" s="1">
        <v>15000</v>
      </c>
      <c r="H79" s="1">
        <v>3228246</v>
      </c>
    </row>
    <row r="80" spans="1:8">
      <c r="A80" t="s">
        <v>8</v>
      </c>
      <c r="B80" t="s">
        <v>166</v>
      </c>
      <c r="C80" t="s">
        <v>167</v>
      </c>
      <c r="D80" s="4">
        <f>_xlfn.XLOOKUP(C80,SQL!D79:D176,SQL!E79:E176)</f>
        <v>876188700513</v>
      </c>
      <c r="E80" t="s">
        <v>11</v>
      </c>
      <c r="F80" s="1">
        <v>0</v>
      </c>
      <c r="G80" s="1">
        <v>20000</v>
      </c>
      <c r="H80" s="1">
        <v>3248246</v>
      </c>
    </row>
    <row r="81" spans="1:8">
      <c r="A81" t="s">
        <v>8</v>
      </c>
      <c r="B81" t="s">
        <v>168</v>
      </c>
      <c r="C81" t="s">
        <v>169</v>
      </c>
      <c r="D81" s="3">
        <v>886188213351</v>
      </c>
      <c r="E81" t="s">
        <v>11</v>
      </c>
      <c r="F81" s="1">
        <v>0</v>
      </c>
      <c r="G81" s="1">
        <v>8000</v>
      </c>
      <c r="H81" s="1">
        <v>3256246</v>
      </c>
    </row>
    <row r="82" spans="1:8">
      <c r="A82" t="s">
        <v>8</v>
      </c>
      <c r="B82" t="s">
        <v>170</v>
      </c>
      <c r="C82" t="s">
        <v>171</v>
      </c>
      <c r="D82" s="3">
        <v>886187938185</v>
      </c>
      <c r="E82" t="s">
        <v>172</v>
      </c>
      <c r="F82" s="1">
        <v>0</v>
      </c>
      <c r="G82" s="1">
        <v>35000</v>
      </c>
      <c r="H82" s="1">
        <v>3291246</v>
      </c>
    </row>
    <row r="83" spans="1:8">
      <c r="A83" t="s">
        <v>8</v>
      </c>
      <c r="B83" t="s">
        <v>173</v>
      </c>
      <c r="C83" t="s">
        <v>174</v>
      </c>
      <c r="D83" s="4">
        <f>_xlfn.XLOOKUP(C83,SQL!D82:D179,SQL!E82:E179)</f>
        <v>886188069320</v>
      </c>
      <c r="E83" t="s">
        <v>11</v>
      </c>
      <c r="F83" s="1">
        <v>0</v>
      </c>
      <c r="G83" s="1">
        <v>50000</v>
      </c>
      <c r="H83" s="1">
        <v>3341246</v>
      </c>
    </row>
    <row r="84" spans="1:8">
      <c r="A84" t="s">
        <v>8</v>
      </c>
      <c r="B84" t="s">
        <v>175</v>
      </c>
      <c r="C84" t="s">
        <v>176</v>
      </c>
      <c r="D84" s="3">
        <v>886188282358</v>
      </c>
      <c r="E84" t="s">
        <v>11</v>
      </c>
      <c r="F84" s="1">
        <v>0</v>
      </c>
      <c r="G84" s="1">
        <v>15000</v>
      </c>
      <c r="H84" s="1">
        <v>3356246</v>
      </c>
    </row>
    <row r="85" spans="1:8">
      <c r="A85" t="s">
        <v>8</v>
      </c>
      <c r="B85" t="s">
        <v>177</v>
      </c>
      <c r="C85" t="s">
        <v>178</v>
      </c>
      <c r="D85" s="3">
        <v>886188022035</v>
      </c>
      <c r="E85" t="s">
        <v>11</v>
      </c>
      <c r="F85" s="1">
        <v>0</v>
      </c>
      <c r="G85" s="1">
        <v>56000</v>
      </c>
      <c r="H85" s="1">
        <v>3412246</v>
      </c>
    </row>
    <row r="86" spans="1:8">
      <c r="A86" t="s">
        <v>8</v>
      </c>
      <c r="B86" t="s">
        <v>179</v>
      </c>
      <c r="C86" t="s">
        <v>180</v>
      </c>
      <c r="D86" s="4">
        <f>_xlfn.XLOOKUP(C86,SQL!D85:D182,SQL!E85:E182)</f>
        <v>886188942148</v>
      </c>
      <c r="E86" t="s">
        <v>11</v>
      </c>
      <c r="F86" s="1">
        <v>0</v>
      </c>
      <c r="G86" s="1">
        <v>40000</v>
      </c>
      <c r="H86" s="1">
        <v>3452246</v>
      </c>
    </row>
    <row r="87" spans="1:8">
      <c r="A87" t="s">
        <v>8</v>
      </c>
      <c r="B87" t="s">
        <v>181</v>
      </c>
      <c r="C87" t="s">
        <v>182</v>
      </c>
      <c r="D87" s="3">
        <v>886188034127</v>
      </c>
      <c r="E87" t="s">
        <v>11</v>
      </c>
      <c r="F87" s="1">
        <v>0</v>
      </c>
      <c r="G87" s="1">
        <v>1200</v>
      </c>
      <c r="H87" s="1">
        <v>3453446</v>
      </c>
    </row>
    <row r="88" spans="1:8">
      <c r="A88" t="s">
        <v>8</v>
      </c>
      <c r="B88" t="s">
        <v>183</v>
      </c>
      <c r="C88" t="s">
        <v>184</v>
      </c>
      <c r="D88" s="3">
        <v>886188935348</v>
      </c>
      <c r="E88" t="s">
        <v>11</v>
      </c>
      <c r="F88" s="1">
        <v>0</v>
      </c>
      <c r="G88" s="1">
        <v>21000</v>
      </c>
      <c r="H88" s="1">
        <v>3474446</v>
      </c>
    </row>
    <row r="89" spans="1:8">
      <c r="A89" t="s">
        <v>8</v>
      </c>
      <c r="B89" t="s">
        <v>185</v>
      </c>
      <c r="C89" t="s">
        <v>186</v>
      </c>
      <c r="D89" s="3">
        <v>886188211084</v>
      </c>
      <c r="E89" t="s">
        <v>11</v>
      </c>
      <c r="F89" s="1">
        <v>0</v>
      </c>
      <c r="G89" s="1">
        <v>40000</v>
      </c>
      <c r="H89" s="1">
        <v>3514446</v>
      </c>
    </row>
    <row r="90" spans="1:8">
      <c r="A90" t="s">
        <v>8</v>
      </c>
      <c r="B90" t="s">
        <v>187</v>
      </c>
      <c r="C90" t="s">
        <v>188</v>
      </c>
      <c r="D90" s="3">
        <v>886188690298</v>
      </c>
      <c r="E90" t="s">
        <v>11</v>
      </c>
      <c r="F90" s="1">
        <v>0</v>
      </c>
      <c r="G90" s="1">
        <v>3000</v>
      </c>
      <c r="H90" s="1">
        <v>3517446</v>
      </c>
    </row>
    <row r="91" spans="1:8">
      <c r="A91" t="s">
        <v>8</v>
      </c>
      <c r="B91" t="s">
        <v>189</v>
      </c>
      <c r="C91" t="s">
        <v>190</v>
      </c>
      <c r="D91" s="3">
        <v>886188927292</v>
      </c>
      <c r="E91" t="s">
        <v>11</v>
      </c>
      <c r="F91" s="1">
        <v>0</v>
      </c>
      <c r="G91" s="1">
        <v>15000</v>
      </c>
      <c r="H91" s="1">
        <v>3532446</v>
      </c>
    </row>
    <row r="92" spans="1:8">
      <c r="A92" t="s">
        <v>8</v>
      </c>
      <c r="B92" t="s">
        <v>191</v>
      </c>
      <c r="C92" t="s">
        <v>192</v>
      </c>
      <c r="D92" s="3">
        <v>886188652103</v>
      </c>
      <c r="E92" t="s">
        <v>11</v>
      </c>
      <c r="F92" s="1">
        <v>0</v>
      </c>
      <c r="G92" s="1">
        <v>40000</v>
      </c>
      <c r="H92" s="1">
        <v>3572446</v>
      </c>
    </row>
    <row r="93" spans="1:8">
      <c r="A93" t="s">
        <v>8</v>
      </c>
      <c r="B93" t="s">
        <v>193</v>
      </c>
      <c r="C93" t="s">
        <v>194</v>
      </c>
      <c r="D93" s="4">
        <f>_xlfn.XLOOKUP(C93,SQL!D92:D189,SQL!E92:E189)</f>
        <v>886188091785</v>
      </c>
      <c r="E93" t="s">
        <v>11</v>
      </c>
      <c r="F93" s="1">
        <v>0</v>
      </c>
      <c r="G93" s="1">
        <v>20000</v>
      </c>
      <c r="H93" s="1">
        <v>3592446</v>
      </c>
    </row>
    <row r="94" spans="1:8">
      <c r="A94" t="s">
        <v>8</v>
      </c>
      <c r="B94" t="s">
        <v>195</v>
      </c>
      <c r="C94" t="s">
        <v>196</v>
      </c>
      <c r="D94" s="3">
        <v>886188116579</v>
      </c>
      <c r="E94" t="s">
        <v>11</v>
      </c>
      <c r="F94" s="1">
        <v>0</v>
      </c>
      <c r="G94" s="1">
        <v>500</v>
      </c>
      <c r="H94" s="1">
        <v>3592946</v>
      </c>
    </row>
    <row r="95" spans="1:8">
      <c r="A95" t="s">
        <v>8</v>
      </c>
      <c r="B95" t="s">
        <v>197</v>
      </c>
      <c r="C95" t="s">
        <v>198</v>
      </c>
      <c r="D95" s="3">
        <v>886188605644</v>
      </c>
      <c r="E95" t="s">
        <v>11</v>
      </c>
      <c r="F95" s="1">
        <v>0</v>
      </c>
      <c r="G95" s="1">
        <v>18000</v>
      </c>
      <c r="H95" s="1">
        <v>3610946</v>
      </c>
    </row>
    <row r="96" spans="1:8">
      <c r="A96" t="s">
        <v>8</v>
      </c>
      <c r="B96" t="s">
        <v>199</v>
      </c>
      <c r="C96" t="s">
        <v>200</v>
      </c>
      <c r="D96" s="3">
        <v>886188330394</v>
      </c>
      <c r="E96" t="s">
        <v>11</v>
      </c>
      <c r="F96" s="1">
        <v>0</v>
      </c>
      <c r="G96" s="1">
        <v>500</v>
      </c>
      <c r="H96" s="1">
        <v>3611446</v>
      </c>
    </row>
    <row r="97" spans="1:8">
      <c r="A97" t="s">
        <v>8</v>
      </c>
      <c r="B97" t="s">
        <v>201</v>
      </c>
      <c r="C97" t="s">
        <v>202</v>
      </c>
      <c r="D97" s="4">
        <f>_xlfn.XLOOKUP(C97,SQL!D96:D193,SQL!E96:E193)</f>
        <v>886188698346</v>
      </c>
      <c r="E97" t="s">
        <v>11</v>
      </c>
      <c r="F97" s="1">
        <v>0</v>
      </c>
      <c r="G97" s="1">
        <v>5000</v>
      </c>
      <c r="H97" s="1">
        <v>3616446</v>
      </c>
    </row>
    <row r="98" spans="1:8">
      <c r="A98" t="s">
        <v>8</v>
      </c>
      <c r="B98" t="s">
        <v>203</v>
      </c>
      <c r="C98" t="s">
        <v>204</v>
      </c>
      <c r="D98" s="3">
        <v>886188198865</v>
      </c>
      <c r="E98" t="s">
        <v>11</v>
      </c>
      <c r="F98" s="1">
        <v>0</v>
      </c>
      <c r="G98" s="1">
        <v>20000</v>
      </c>
      <c r="H98" s="1">
        <v>1751976</v>
      </c>
    </row>
    <row r="99" spans="1:8">
      <c r="A99" t="s">
        <v>8</v>
      </c>
      <c r="B99" t="s">
        <v>205</v>
      </c>
      <c r="C99" t="s">
        <v>206</v>
      </c>
      <c r="D99" s="3">
        <v>886188890887</v>
      </c>
      <c r="E99" t="s">
        <v>11</v>
      </c>
      <c r="F99" s="1">
        <v>0</v>
      </c>
      <c r="G99" s="1">
        <v>3000</v>
      </c>
      <c r="H99" s="1">
        <v>1754976</v>
      </c>
    </row>
    <row r="100" spans="1:8">
      <c r="A100" t="s">
        <v>8</v>
      </c>
      <c r="B100" t="s">
        <v>207</v>
      </c>
      <c r="C100" t="s">
        <v>208</v>
      </c>
      <c r="D100" s="3">
        <v>886188911342</v>
      </c>
      <c r="E100" t="s">
        <v>11</v>
      </c>
      <c r="F100" s="1">
        <v>0</v>
      </c>
      <c r="G100" s="1">
        <v>5000</v>
      </c>
      <c r="H100" s="1">
        <v>1759976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D1:E98"/>
  <sheetViews>
    <sheetView workbookViewId="0">
      <selection activeCell="D4" sqref="D1:D4"/>
    </sheetView>
  </sheetViews>
  <sheetFormatPr defaultRowHeight="14.45"/>
  <cols>
    <col min="4" max="4" width="14.85546875" bestFit="1" customWidth="1"/>
    <col min="5" max="5" width="12.85546875" bestFit="1" customWidth="1"/>
  </cols>
  <sheetData>
    <row r="1" spans="4:5">
      <c r="D1" s="2">
        <v>20144469920</v>
      </c>
      <c r="E1" s="3">
        <v>886188211084</v>
      </c>
    </row>
    <row r="2" spans="4:5">
      <c r="D2" s="2">
        <v>20144471685</v>
      </c>
      <c r="E2" s="3">
        <v>886188390857</v>
      </c>
    </row>
    <row r="3" spans="4:5">
      <c r="D3" s="2">
        <v>20144472305</v>
      </c>
      <c r="E3" s="3">
        <v>886188266989</v>
      </c>
    </row>
    <row r="4" spans="4:5">
      <c r="D4" s="2">
        <v>20144474773</v>
      </c>
      <c r="E4" s="3">
        <v>886188688374</v>
      </c>
    </row>
    <row r="5" spans="4:5">
      <c r="D5" s="2" t="s">
        <v>115</v>
      </c>
      <c r="E5" s="3">
        <v>886188939218</v>
      </c>
    </row>
    <row r="6" spans="4:5">
      <c r="D6" s="2" t="s">
        <v>53</v>
      </c>
      <c r="E6" s="3">
        <v>886188554979</v>
      </c>
    </row>
    <row r="7" spans="4:5">
      <c r="D7" s="2" t="s">
        <v>129</v>
      </c>
      <c r="E7" s="3">
        <v>886188471955</v>
      </c>
    </row>
    <row r="8" spans="4:5">
      <c r="D8" s="2" t="s">
        <v>200</v>
      </c>
      <c r="E8" s="3">
        <v>886188330394</v>
      </c>
    </row>
    <row r="9" spans="4:5">
      <c r="D9" s="2" t="s">
        <v>91</v>
      </c>
      <c r="E9" s="3">
        <v>886188289202</v>
      </c>
    </row>
    <row r="10" spans="4:5">
      <c r="D10" s="2" t="s">
        <v>29</v>
      </c>
      <c r="E10" s="3">
        <v>886188413247</v>
      </c>
    </row>
    <row r="11" spans="4:5">
      <c r="D11" s="2" t="s">
        <v>39</v>
      </c>
      <c r="E11" s="3">
        <v>886188303332</v>
      </c>
    </row>
    <row r="12" spans="4:5">
      <c r="D12" s="2" t="s">
        <v>135</v>
      </c>
      <c r="E12" s="3">
        <v>886188081339</v>
      </c>
    </row>
    <row r="13" spans="4:5">
      <c r="D13" s="2" t="s">
        <v>63</v>
      </c>
      <c r="E13" s="3">
        <v>886188628030</v>
      </c>
    </row>
    <row r="14" spans="4:5">
      <c r="D14" s="2" t="s">
        <v>176</v>
      </c>
      <c r="E14" s="3">
        <v>886188282358</v>
      </c>
    </row>
    <row r="15" spans="4:5">
      <c r="D15" s="2" t="s">
        <v>51</v>
      </c>
      <c r="E15" s="3">
        <v>886188531253</v>
      </c>
    </row>
    <row r="16" spans="4:5">
      <c r="D16" s="2" t="s">
        <v>149</v>
      </c>
      <c r="E16" s="3">
        <v>886188248944</v>
      </c>
    </row>
    <row r="17" spans="4:5">
      <c r="D17" s="2" t="s">
        <v>97</v>
      </c>
      <c r="E17" s="3">
        <v>886188283483</v>
      </c>
    </row>
    <row r="18" spans="4:5">
      <c r="D18" s="2" t="s">
        <v>133</v>
      </c>
      <c r="E18" s="3">
        <v>886188241040</v>
      </c>
    </row>
    <row r="19" spans="4:5">
      <c r="D19" s="2" t="s">
        <v>145</v>
      </c>
      <c r="E19" s="3">
        <v>886188902915</v>
      </c>
    </row>
    <row r="20" spans="4:5">
      <c r="D20" s="2" t="s">
        <v>198</v>
      </c>
      <c r="E20" s="3">
        <v>886188605644</v>
      </c>
    </row>
    <row r="21" spans="4:5">
      <c r="D21" s="2" t="s">
        <v>151</v>
      </c>
      <c r="E21" s="3">
        <v>886188890747</v>
      </c>
    </row>
    <row r="22" spans="4:5">
      <c r="D22" s="2" t="s">
        <v>137</v>
      </c>
      <c r="E22" s="3">
        <v>886188982647</v>
      </c>
    </row>
    <row r="23" spans="4:5">
      <c r="D23" s="2" t="s">
        <v>89</v>
      </c>
      <c r="E23" s="3">
        <v>886188865207</v>
      </c>
    </row>
    <row r="24" spans="4:5">
      <c r="D24" s="2" t="s">
        <v>85</v>
      </c>
      <c r="E24" s="3">
        <v>886188475945</v>
      </c>
    </row>
    <row r="25" spans="4:5">
      <c r="D25" s="2" t="s">
        <v>99</v>
      </c>
      <c r="E25" s="3">
        <v>886188977878</v>
      </c>
    </row>
    <row r="26" spans="4:5">
      <c r="D26" s="2" t="s">
        <v>178</v>
      </c>
      <c r="E26" s="3">
        <v>886188022035</v>
      </c>
    </row>
    <row r="27" spans="4:5">
      <c r="D27" s="2" t="s">
        <v>196</v>
      </c>
      <c r="E27" s="3">
        <v>886188116579</v>
      </c>
    </row>
    <row r="28" spans="4:5">
      <c r="D28" s="2" t="s">
        <v>79</v>
      </c>
      <c r="E28" s="3">
        <v>886188869953</v>
      </c>
    </row>
    <row r="29" spans="4:5">
      <c r="D29" s="2" t="s">
        <v>165</v>
      </c>
      <c r="E29" s="3">
        <v>886188043255</v>
      </c>
    </row>
    <row r="30" spans="4:5">
      <c r="D30" s="2" t="s">
        <v>139</v>
      </c>
      <c r="E30" s="3">
        <v>886188791806</v>
      </c>
    </row>
    <row r="31" spans="4:5">
      <c r="D31" s="2" t="s">
        <v>101</v>
      </c>
      <c r="E31" s="3">
        <v>886188831025</v>
      </c>
    </row>
    <row r="32" spans="4:5">
      <c r="D32" s="2" t="s">
        <v>208</v>
      </c>
      <c r="E32" s="3">
        <v>886188911342</v>
      </c>
    </row>
    <row r="33" spans="4:5">
      <c r="D33" s="2" t="s">
        <v>25</v>
      </c>
      <c r="E33" s="3">
        <v>886188433018</v>
      </c>
    </row>
    <row r="34" spans="4:5">
      <c r="D34" s="2" t="s">
        <v>65</v>
      </c>
      <c r="E34" s="3">
        <v>886188858173</v>
      </c>
    </row>
    <row r="35" spans="4:5">
      <c r="D35" s="2" t="s">
        <v>169</v>
      </c>
      <c r="E35" s="3">
        <v>886188213351</v>
      </c>
    </row>
    <row r="36" spans="4:5">
      <c r="D36" s="2" t="s">
        <v>19</v>
      </c>
      <c r="E36" s="3">
        <v>886188338936</v>
      </c>
    </row>
    <row r="37" spans="4:5">
      <c r="D37" s="2" t="s">
        <v>125</v>
      </c>
      <c r="E37" s="3">
        <v>886188166234</v>
      </c>
    </row>
    <row r="38" spans="4:5">
      <c r="D38" s="2" t="s">
        <v>190</v>
      </c>
      <c r="E38" s="3">
        <v>886188927292</v>
      </c>
    </row>
    <row r="39" spans="4:5">
      <c r="D39" s="2" t="s">
        <v>113</v>
      </c>
      <c r="E39" s="3">
        <v>886188214541</v>
      </c>
    </row>
    <row r="40" spans="4:5">
      <c r="D40" s="2" t="s">
        <v>75</v>
      </c>
      <c r="E40" s="3">
        <v>886188170442</v>
      </c>
    </row>
    <row r="41" spans="4:5">
      <c r="D41" s="2" t="s">
        <v>182</v>
      </c>
      <c r="E41" s="3">
        <v>886188034127</v>
      </c>
    </row>
    <row r="42" spans="4:5">
      <c r="D42" s="2" t="s">
        <v>67</v>
      </c>
      <c r="E42" s="3">
        <v>886188520170</v>
      </c>
    </row>
    <row r="43" spans="4:5">
      <c r="D43" s="2" t="s">
        <v>45</v>
      </c>
      <c r="E43" s="3">
        <v>886188962376</v>
      </c>
    </row>
    <row r="44" spans="4:5">
      <c r="D44" s="2" t="s">
        <v>35</v>
      </c>
      <c r="E44" s="3">
        <v>886188093408</v>
      </c>
    </row>
    <row r="45" spans="4:5">
      <c r="D45" s="2" t="s">
        <v>171</v>
      </c>
      <c r="E45" s="3">
        <v>886187938185</v>
      </c>
    </row>
    <row r="46" spans="4:5">
      <c r="D46" s="2" t="s">
        <v>71</v>
      </c>
      <c r="E46" s="3">
        <v>886188792739</v>
      </c>
    </row>
    <row r="47" spans="4:5">
      <c r="D47" s="2" t="s">
        <v>21</v>
      </c>
      <c r="E47" s="3">
        <v>886188752304</v>
      </c>
    </row>
    <row r="48" spans="4:5">
      <c r="D48" s="2" t="s">
        <v>87</v>
      </c>
      <c r="E48" s="3">
        <v>886188561099</v>
      </c>
    </row>
    <row r="49" spans="4:5">
      <c r="D49" s="2" t="s">
        <v>161</v>
      </c>
      <c r="E49" s="3">
        <v>886188595712</v>
      </c>
    </row>
    <row r="50" spans="4:5">
      <c r="D50" s="2" t="s">
        <v>147</v>
      </c>
      <c r="E50" s="3">
        <v>886188225399</v>
      </c>
    </row>
    <row r="51" spans="4:5">
      <c r="D51" s="2" t="s">
        <v>73</v>
      </c>
      <c r="E51" s="3">
        <v>886188412907</v>
      </c>
    </row>
    <row r="52" spans="4:5">
      <c r="D52" s="2" t="s">
        <v>17</v>
      </c>
      <c r="E52" s="3">
        <v>886188059007</v>
      </c>
    </row>
    <row r="53" spans="4:5">
      <c r="D53" s="2" t="s">
        <v>192</v>
      </c>
      <c r="E53" s="3">
        <v>886188652103</v>
      </c>
    </row>
    <row r="54" spans="4:5">
      <c r="D54" s="2" t="s">
        <v>105</v>
      </c>
      <c r="E54" s="3">
        <v>886188741729</v>
      </c>
    </row>
    <row r="55" spans="4:5">
      <c r="D55" s="2" t="s">
        <v>127</v>
      </c>
      <c r="E55" s="3">
        <v>886188800366</v>
      </c>
    </row>
    <row r="56" spans="4:5">
      <c r="D56" s="2" t="s">
        <v>107</v>
      </c>
      <c r="E56" s="3">
        <v>886188640629</v>
      </c>
    </row>
    <row r="57" spans="4:5">
      <c r="D57" s="2" t="s">
        <v>15</v>
      </c>
      <c r="E57" s="3">
        <v>886188114902</v>
      </c>
    </row>
    <row r="58" spans="4:5">
      <c r="D58" s="2" t="s">
        <v>95</v>
      </c>
      <c r="E58" s="3">
        <v>886188809558</v>
      </c>
    </row>
    <row r="59" spans="4:5">
      <c r="D59" s="2" t="s">
        <v>55</v>
      </c>
      <c r="E59" s="3">
        <v>886188280055</v>
      </c>
    </row>
    <row r="60" spans="4:5">
      <c r="D60" s="2" t="s">
        <v>184</v>
      </c>
      <c r="E60" s="3">
        <v>886188935348</v>
      </c>
    </row>
    <row r="61" spans="4:5">
      <c r="D61" s="2" t="s">
        <v>141</v>
      </c>
      <c r="E61" s="3">
        <v>886188428821</v>
      </c>
    </row>
    <row r="62" spans="4:5">
      <c r="D62" s="2" t="s">
        <v>188</v>
      </c>
      <c r="E62" s="3">
        <v>886188690298</v>
      </c>
    </row>
    <row r="63" spans="4:5">
      <c r="D63" s="2" t="s">
        <v>10</v>
      </c>
      <c r="E63" s="3">
        <v>886188816697</v>
      </c>
    </row>
    <row r="64" spans="4:5">
      <c r="D64" s="2" t="s">
        <v>143</v>
      </c>
      <c r="E64" s="3">
        <v>886188840426</v>
      </c>
    </row>
    <row r="65" spans="4:5">
      <c r="D65" s="2" t="s">
        <v>37</v>
      </c>
      <c r="E65" s="3">
        <v>886188038995</v>
      </c>
    </row>
    <row r="66" spans="4:5">
      <c r="D66" s="2" t="s">
        <v>131</v>
      </c>
      <c r="E66" s="3">
        <v>886188844787</v>
      </c>
    </row>
    <row r="67" spans="4:5">
      <c r="D67" s="2" t="s">
        <v>159</v>
      </c>
      <c r="E67" s="3">
        <v>886188815206</v>
      </c>
    </row>
    <row r="68" spans="4:5">
      <c r="D68" s="2" t="s">
        <v>117</v>
      </c>
      <c r="E68" s="3">
        <v>886188330700</v>
      </c>
    </row>
    <row r="69" spans="4:5">
      <c r="D69" s="2" t="s">
        <v>119</v>
      </c>
      <c r="E69" s="3">
        <v>886185649810</v>
      </c>
    </row>
    <row r="70" spans="4:5">
      <c r="D70" s="2" t="s">
        <v>206</v>
      </c>
      <c r="E70" s="3">
        <v>886188890887</v>
      </c>
    </row>
    <row r="71" spans="4:5">
      <c r="D71" s="2" t="s">
        <v>103</v>
      </c>
      <c r="E71" s="3">
        <v>886188323475</v>
      </c>
    </row>
    <row r="72" spans="4:5">
      <c r="D72" s="2" t="s">
        <v>33</v>
      </c>
      <c r="E72" s="3">
        <v>886188114591</v>
      </c>
    </row>
    <row r="73" spans="4:5">
      <c r="D73" s="2" t="s">
        <v>77</v>
      </c>
      <c r="E73" s="3">
        <v>886188737233</v>
      </c>
    </row>
    <row r="74" spans="4:5">
      <c r="D74" s="2" t="s">
        <v>153</v>
      </c>
      <c r="E74" s="3">
        <v>886188030656</v>
      </c>
    </row>
    <row r="75" spans="4:5">
      <c r="D75" s="2" t="s">
        <v>111</v>
      </c>
      <c r="E75" s="3">
        <v>886188585145</v>
      </c>
    </row>
    <row r="76" spans="4:5">
      <c r="D76" s="2" t="s">
        <v>13</v>
      </c>
      <c r="E76" s="3">
        <v>886188658324</v>
      </c>
    </row>
    <row r="77" spans="4:5">
      <c r="D77" s="2" t="s">
        <v>83</v>
      </c>
      <c r="E77" s="3">
        <v>886188482938</v>
      </c>
    </row>
    <row r="78" spans="4:5">
      <c r="D78" s="2" t="s">
        <v>31</v>
      </c>
      <c r="E78" s="3">
        <v>886188612476</v>
      </c>
    </row>
    <row r="79" spans="4:5">
      <c r="D79" s="2" t="s">
        <v>69</v>
      </c>
      <c r="E79" s="3">
        <v>886188759020</v>
      </c>
    </row>
    <row r="80" spans="4:5">
      <c r="D80" s="2" t="s">
        <v>123</v>
      </c>
      <c r="E80" s="3">
        <v>886188807331</v>
      </c>
    </row>
    <row r="81" spans="4:5">
      <c r="D81" s="2" t="s">
        <v>121</v>
      </c>
      <c r="E81" s="3">
        <v>886188420300</v>
      </c>
    </row>
    <row r="82" spans="4:5">
      <c r="D82" s="2" t="s">
        <v>23</v>
      </c>
      <c r="E82" s="3">
        <v>876188338004</v>
      </c>
    </row>
    <row r="83" spans="4:5">
      <c r="D83" s="2" t="s">
        <v>43</v>
      </c>
      <c r="E83" s="3">
        <v>886188741844</v>
      </c>
    </row>
    <row r="84" spans="4:5">
      <c r="D84" s="2" t="s">
        <v>81</v>
      </c>
      <c r="E84" s="3">
        <v>886188885897</v>
      </c>
    </row>
    <row r="85" spans="4:5">
      <c r="D85" s="2" t="s">
        <v>47</v>
      </c>
      <c r="E85" s="3">
        <v>886188107436</v>
      </c>
    </row>
    <row r="86" spans="4:5">
      <c r="D86" s="2" t="s">
        <v>27</v>
      </c>
      <c r="E86" s="3">
        <v>886188545985</v>
      </c>
    </row>
    <row r="87" spans="4:5">
      <c r="D87" s="2" t="s">
        <v>157</v>
      </c>
      <c r="E87" s="3">
        <v>886188047507</v>
      </c>
    </row>
    <row r="88" spans="4:5">
      <c r="D88" s="2" t="s">
        <v>49</v>
      </c>
      <c r="E88" s="3">
        <v>886188873036</v>
      </c>
    </row>
    <row r="89" spans="4:5">
      <c r="D89" s="2" t="s">
        <v>93</v>
      </c>
      <c r="E89" s="3">
        <v>886188462340</v>
      </c>
    </row>
    <row r="90" spans="4:5">
      <c r="D90" s="2" t="s">
        <v>163</v>
      </c>
      <c r="E90" s="3">
        <v>886188074651</v>
      </c>
    </row>
    <row r="91" spans="4:5">
      <c r="D91" s="2" t="s">
        <v>204</v>
      </c>
      <c r="E91" s="3">
        <v>886188198865</v>
      </c>
    </row>
    <row r="92" spans="4:5">
      <c r="D92" s="2" t="s">
        <v>174</v>
      </c>
      <c r="E92" s="3">
        <v>886188069320</v>
      </c>
    </row>
    <row r="93" spans="4:5">
      <c r="D93" s="2" t="s">
        <v>194</v>
      </c>
      <c r="E93" s="3">
        <v>886188091785</v>
      </c>
    </row>
    <row r="94" spans="4:5">
      <c r="D94" s="2" t="s">
        <v>167</v>
      </c>
      <c r="E94" s="3">
        <v>876188700513</v>
      </c>
    </row>
    <row r="95" spans="4:5">
      <c r="D95" s="2" t="s">
        <v>180</v>
      </c>
      <c r="E95" s="3">
        <v>886188942148</v>
      </c>
    </row>
    <row r="96" spans="4:5">
      <c r="D96" s="2" t="s">
        <v>109</v>
      </c>
      <c r="E96" s="3">
        <v>886188643940</v>
      </c>
    </row>
    <row r="97" spans="4:5">
      <c r="D97" s="2" t="s">
        <v>202</v>
      </c>
      <c r="E97" s="3">
        <v>886188698346</v>
      </c>
    </row>
    <row r="98" spans="4:5">
      <c r="D98" s="2" t="s">
        <v>57</v>
      </c>
      <c r="E98" s="3">
        <v>886188883309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e396689-5035-49e0-be07-7dfa8fa9a49e}" enabled="1" method="Privileged" siteId="{74347ffe-8392-4a6f-9cd2-4d7371e222a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Yvan Kananura</cp:lastModifiedBy>
  <cp:revision/>
  <dcterms:created xsi:type="dcterms:W3CDTF">2026-07-08T09:51:05Z</dcterms:created>
  <dcterms:modified xsi:type="dcterms:W3CDTF">2026-07-20T12:29:15Z</dcterms:modified>
  <cp:category/>
  <cp:contentStatus/>
</cp:coreProperties>
</file>