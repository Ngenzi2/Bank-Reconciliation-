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kcbbankgroup-my.sharepoint.com/personal/rwa206217_bpr_rw/Documents/Desktop/DIGITAL BANKING/IREMBO/"/>
    </mc:Choice>
  </mc:AlternateContent>
  <xr:revisionPtr revIDLastSave="78" documentId="11_0C8ED903AB12BC75DF433974DA4DEB61C562B27A" xr6:coauthVersionLast="47" xr6:coauthVersionMax="47" xr10:uidLastSave="{A952C324-02F1-4B89-AD91-EF0C9DC1D3FF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4" i="1"/>
  <c r="D15" i="1"/>
  <c r="D16" i="1"/>
  <c r="D17" i="1"/>
  <c r="D18" i="1"/>
  <c r="D19" i="1"/>
  <c r="D20" i="1"/>
  <c r="D21" i="1"/>
  <c r="D23" i="1"/>
  <c r="D25" i="1"/>
  <c r="D27" i="1"/>
  <c r="D29" i="1"/>
  <c r="D30" i="1"/>
  <c r="D31" i="1"/>
  <c r="D32" i="1"/>
  <c r="D33" i="1"/>
  <c r="D34" i="1"/>
  <c r="D37" i="1"/>
  <c r="D42" i="1"/>
  <c r="D44" i="1"/>
  <c r="D45" i="1"/>
  <c r="D46" i="1"/>
  <c r="D2" i="1"/>
</calcChain>
</file>

<file path=xl/sharedStrings.xml><?xml version="1.0" encoding="utf-8"?>
<sst xmlns="http://schemas.openxmlformats.org/spreadsheetml/2006/main" count="291" uniqueCount="125">
  <si>
    <t>BOOKING_DATE</t>
  </si>
  <si>
    <t>BANK_REFERENCE</t>
  </si>
  <si>
    <t>DESCRIPTION</t>
  </si>
  <si>
    <t>INVOICE NUMBER</t>
  </si>
  <si>
    <t>VALUE_DATE</t>
  </si>
  <si>
    <t>DEBIT</t>
  </si>
  <si>
    <t>CREDIT</t>
  </si>
  <si>
    <t>CLOSING_BALANCE</t>
  </si>
  <si>
    <t>2026-07-09</t>
  </si>
  <si>
    <t>FT2619026D9K</t>
  </si>
  <si>
    <t>SZ309VDWACYK</t>
  </si>
  <si>
    <t>09-JUL-26</t>
  </si>
  <si>
    <t>FT2619054JR3</t>
  </si>
  <si>
    <t>20144495705</t>
  </si>
  <si>
    <t>FT26190ZTHKR</t>
  </si>
  <si>
    <t>SZS09VQ8302U</t>
  </si>
  <si>
    <t>FT26190H8JP1</t>
  </si>
  <si>
    <t>SZ009V0SD6BX</t>
  </si>
  <si>
    <t>FT26190J5K7L</t>
  </si>
  <si>
    <t>SZJ09V630AX0</t>
  </si>
  <si>
    <t>FT261903TZFF</t>
  </si>
  <si>
    <t>SZ009WCDUZ5J</t>
  </si>
  <si>
    <t>FT261905RH41</t>
  </si>
  <si>
    <t>SZN09VQ2TU1K</t>
  </si>
  <si>
    <t>FT26190PLG2H</t>
  </si>
  <si>
    <t>SZE09VXFD19E</t>
  </si>
  <si>
    <t>FT26190S3HPP</t>
  </si>
  <si>
    <t>SZ309V99EQ9S</t>
  </si>
  <si>
    <t>FT2619099THG</t>
  </si>
  <si>
    <t>SZJ09VL6WNWC</t>
  </si>
  <si>
    <t>FT26190JLB0W</t>
  </si>
  <si>
    <t>20144495554</t>
  </si>
  <si>
    <t>FT26190WKT1G</t>
  </si>
  <si>
    <t>20144495562</t>
  </si>
  <si>
    <t>FT26190CQFMN</t>
  </si>
  <si>
    <t>SZJ09VJTQP8Q</t>
  </si>
  <si>
    <t>FT26190QKD8Y</t>
  </si>
  <si>
    <t>SZY09WB7GHWT</t>
  </si>
  <si>
    <t>FT26190RQDSF</t>
  </si>
  <si>
    <t>SZY09VR19QK5</t>
  </si>
  <si>
    <t>FT261904H2M1</t>
  </si>
  <si>
    <t>SZQ09V1BRD0K</t>
  </si>
  <si>
    <t>FT26190CS48C</t>
  </si>
  <si>
    <t>SZ409VVETTLT</t>
  </si>
  <si>
    <t>FT26190RK60Q</t>
  </si>
  <si>
    <t>SZD09VXB4PNW</t>
  </si>
  <si>
    <t>FT26190ZQHX0</t>
  </si>
  <si>
    <t>SZF09WAK4BK3</t>
  </si>
  <si>
    <t>FT26190H18ND</t>
  </si>
  <si>
    <t>SZ809V6STHPY</t>
  </si>
  <si>
    <t>FT26190DH509</t>
  </si>
  <si>
    <t>20144495425</t>
  </si>
  <si>
    <t>FT26190JFLYF</t>
  </si>
  <si>
    <t>SZV09V1RM4X5</t>
  </si>
  <si>
    <t>FT261902ZK6N</t>
  </si>
  <si>
    <t>20144495561</t>
  </si>
  <si>
    <t>FT261908J62H</t>
  </si>
  <si>
    <t>SZ909V6UCKJT</t>
  </si>
  <si>
    <t>FT26190HZT62</t>
  </si>
  <si>
    <t>SZ209VJG6V3K</t>
  </si>
  <si>
    <t>FT26190VDN1V</t>
  </si>
  <si>
    <t>SZY09VYKFS8J</t>
  </si>
  <si>
    <t>FT26190BTDW4</t>
  </si>
  <si>
    <t>SZ409V4RGBVV</t>
  </si>
  <si>
    <t>FT261903W721</t>
  </si>
  <si>
    <t>SZD09VX369BJ</t>
  </si>
  <si>
    <t>FT26190QVH30</t>
  </si>
  <si>
    <t>SZM09V7KVXHF</t>
  </si>
  <si>
    <t>FT26190LGRTG</t>
  </si>
  <si>
    <t>SZS09V90M1F2</t>
  </si>
  <si>
    <t>FT26190LDB0D</t>
  </si>
  <si>
    <t>SZF09V0Q5QMM</t>
  </si>
  <si>
    <t>FT261907K6DB</t>
  </si>
  <si>
    <t>SZF09V1L9AP3</t>
  </si>
  <si>
    <t>FT26190NVL0C</t>
  </si>
  <si>
    <t>SZX09VXPQHJS</t>
  </si>
  <si>
    <t>FT26190D3G2X</t>
  </si>
  <si>
    <t>SZ409V31007B</t>
  </si>
  <si>
    <t>FT26190T55HZ</t>
  </si>
  <si>
    <t>FT26190QMZCZ</t>
  </si>
  <si>
    <t>SZX09VXJ5TK4</t>
  </si>
  <si>
    <t>FT26190199FC</t>
  </si>
  <si>
    <t>SZA09VRTWX36</t>
  </si>
  <si>
    <t>FT26190CKDZL</t>
  </si>
  <si>
    <t>SZ109V3H9CF5</t>
  </si>
  <si>
    <t>FT26190WKFST</t>
  </si>
  <si>
    <t>SZD09V5P99GK</t>
  </si>
  <si>
    <t>FT261904JH7X</t>
  </si>
  <si>
    <t>SZG09VTDSU5V</t>
  </si>
  <si>
    <t>FT26190FLCKJ</t>
  </si>
  <si>
    <t>SZU09V5M2Z2R</t>
  </si>
  <si>
    <t>FT26190H9XZM</t>
  </si>
  <si>
    <t>SZH09V3QJ5LN</t>
  </si>
  <si>
    <t>FT26190D867B</t>
  </si>
  <si>
    <t>SZQ09WEM0XFK</t>
  </si>
  <si>
    <t>FT26190QZJNX</t>
  </si>
  <si>
    <t>SZJ09VMP59H4</t>
  </si>
  <si>
    <t>FT26190XL3DC</t>
  </si>
  <si>
    <t>SZN09WBJAPFJ</t>
  </si>
  <si>
    <t>FT26190NXBC2</t>
  </si>
  <si>
    <t>SZJ09V0BD8F5</t>
  </si>
  <si>
    <t>FT26190VRHW0</t>
  </si>
  <si>
    <t>SZC09V453QY2</t>
  </si>
  <si>
    <t>FT2619049YHH</t>
  </si>
  <si>
    <t>SZC09V3P9CB8</t>
  </si>
  <si>
    <t>FT26190BV96Q</t>
  </si>
  <si>
    <t>SZ409VTPLKTR</t>
  </si>
  <si>
    <t>FT26190L2SYK</t>
  </si>
  <si>
    <t>SZ509WAPA00S</t>
  </si>
  <si>
    <t>FT26190WF4YB</t>
  </si>
  <si>
    <t>SZ009V0EUSQF</t>
  </si>
  <si>
    <t>FT26190VJJL3</t>
  </si>
  <si>
    <t>SZ109WCH6G0B</t>
  </si>
  <si>
    <t>FT26190PC4R9</t>
  </si>
  <si>
    <t>SZ809V358WLE</t>
  </si>
  <si>
    <t>FT26190BQ4KZ</t>
  </si>
  <si>
    <t>SZJ09V50YAHJ</t>
  </si>
  <si>
    <t>FT26190DPZ57</t>
  </si>
  <si>
    <t>SZ309V6RJJGJ</t>
  </si>
  <si>
    <t>FT26190B0X76</t>
  </si>
  <si>
    <t>SZA09VXHE541</t>
  </si>
  <si>
    <t>FT26190PSDLN</t>
  </si>
  <si>
    <t>SZ509VJAC6W9</t>
  </si>
  <si>
    <t>FT26190G2687</t>
  </si>
  <si>
    <t>SZE09V0C88AJ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</si>
</sst>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9"/>
  <sheetViews>
    <sheetView tabSelected="1" workbookViewId="0">
      <pane ySplit="1" topLeftCell="A41" activePane="bottomLeft" state="frozen"/>
      <selection pane="bottomLeft" activeCell="A2" sqref="A2:H59"/>
    </sheetView>
  </sheetViews>
  <sheetFormatPr defaultRowHeight="14.45"/>
  <cols>
    <col min="1" max="1" width="15.85546875" customWidth="1"/>
    <col min="2" max="2" width="15.85546875" bestFit="1" customWidth="1"/>
    <col min="3" max="3" width="14.85546875" bestFit="1" customWidth="1"/>
    <col min="4" max="4" width="15.42578125" style="2" bestFit="1" customWidth="1"/>
    <col min="5" max="5" width="11.28515625" bestFit="1" customWidth="1"/>
    <col min="7" max="7" width="8.42578125" bestFit="1" customWidth="1"/>
    <col min="8" max="8" width="17.140625" bestFit="1" customWidth="1"/>
    <col min="13" max="13" width="9.85546875" bestFit="1" customWidth="1"/>
  </cols>
  <sheetData>
    <row r="1" spans="1:8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s="2">
        <f>_xlfn.XLOOKUP(C2,SQL!C2:C59,SQL!D2:D59)</f>
        <v>886190767071</v>
      </c>
      <c r="E2" t="s">
        <v>11</v>
      </c>
      <c r="F2" s="1">
        <v>0</v>
      </c>
      <c r="G2" s="1">
        <v>6000</v>
      </c>
      <c r="H2" s="1">
        <v>2087318</v>
      </c>
    </row>
    <row r="3" spans="1:8">
      <c r="A3" t="s">
        <v>8</v>
      </c>
      <c r="B3" t="s">
        <v>12</v>
      </c>
      <c r="C3" t="s">
        <v>13</v>
      </c>
      <c r="D3" s="2">
        <v>886190231834</v>
      </c>
      <c r="E3" t="s">
        <v>11</v>
      </c>
      <c r="F3" s="1">
        <v>0</v>
      </c>
      <c r="G3" s="1">
        <v>18000</v>
      </c>
      <c r="H3" s="1">
        <v>2105318</v>
      </c>
    </row>
    <row r="4" spans="1:8">
      <c r="A4" t="s">
        <v>8</v>
      </c>
      <c r="B4" t="s">
        <v>14</v>
      </c>
      <c r="C4" t="s">
        <v>15</v>
      </c>
      <c r="D4" s="2">
        <f>_xlfn.XLOOKUP(C4,SQL!C4:C61,SQL!D4:D61)</f>
        <v>886190688865</v>
      </c>
      <c r="E4" t="s">
        <v>11</v>
      </c>
      <c r="F4" s="1">
        <v>0</v>
      </c>
      <c r="G4" s="1">
        <v>500</v>
      </c>
      <c r="H4" s="1">
        <v>2105818</v>
      </c>
    </row>
    <row r="5" spans="1:8">
      <c r="A5" t="s">
        <v>8</v>
      </c>
      <c r="B5" t="s">
        <v>16</v>
      </c>
      <c r="C5" t="s">
        <v>17</v>
      </c>
      <c r="D5" s="2">
        <f>_xlfn.XLOOKUP(C5,SQL!C5:C62,SQL!D5:D62)</f>
        <v>886190949423</v>
      </c>
      <c r="E5" t="s">
        <v>11</v>
      </c>
      <c r="F5" s="1">
        <v>0</v>
      </c>
      <c r="G5" s="1">
        <v>30000</v>
      </c>
      <c r="H5" s="1">
        <v>2135818</v>
      </c>
    </row>
    <row r="6" spans="1:8">
      <c r="A6" t="s">
        <v>8</v>
      </c>
      <c r="B6" t="s">
        <v>18</v>
      </c>
      <c r="C6" t="s">
        <v>19</v>
      </c>
      <c r="D6" s="2">
        <f>_xlfn.XLOOKUP(C6,SQL!C6:C63,SQL!D6:D63)</f>
        <v>886190197992</v>
      </c>
      <c r="E6" t="s">
        <v>11</v>
      </c>
      <c r="F6" s="1">
        <v>0</v>
      </c>
      <c r="G6" s="1">
        <v>27000</v>
      </c>
      <c r="H6" s="1">
        <v>2162818</v>
      </c>
    </row>
    <row r="7" spans="1:8">
      <c r="A7" t="s">
        <v>8</v>
      </c>
      <c r="B7" t="s">
        <v>20</v>
      </c>
      <c r="C7" t="s">
        <v>21</v>
      </c>
      <c r="D7" s="2">
        <f>_xlfn.XLOOKUP(C7,SQL!C7:C64,SQL!D7:D64)</f>
        <v>886190295845</v>
      </c>
      <c r="E7" t="s">
        <v>11</v>
      </c>
      <c r="F7" s="1">
        <v>0</v>
      </c>
      <c r="G7" s="1">
        <v>21000</v>
      </c>
      <c r="H7" s="1">
        <v>2183818</v>
      </c>
    </row>
    <row r="8" spans="1:8">
      <c r="A8" t="s">
        <v>8</v>
      </c>
      <c r="B8" t="s">
        <v>22</v>
      </c>
      <c r="C8" t="s">
        <v>23</v>
      </c>
      <c r="D8" s="2">
        <f>_xlfn.XLOOKUP(C8,SQL!C8:C65,SQL!D8:D65)</f>
        <v>886190044774</v>
      </c>
      <c r="E8" t="s">
        <v>11</v>
      </c>
      <c r="F8" s="1">
        <v>0</v>
      </c>
      <c r="G8" s="1">
        <v>10000</v>
      </c>
      <c r="H8" s="1">
        <v>2193818</v>
      </c>
    </row>
    <row r="9" spans="1:8">
      <c r="A9" t="s">
        <v>8</v>
      </c>
      <c r="B9" t="s">
        <v>24</v>
      </c>
      <c r="C9" t="s">
        <v>25</v>
      </c>
      <c r="D9" s="2">
        <f>_xlfn.XLOOKUP(C9,SQL!C9:C66,SQL!D9:D66)</f>
        <v>886190470267</v>
      </c>
      <c r="E9" t="s">
        <v>11</v>
      </c>
      <c r="F9" s="1">
        <v>0</v>
      </c>
      <c r="G9" s="1">
        <v>3000</v>
      </c>
      <c r="H9" s="1">
        <v>2196818</v>
      </c>
    </row>
    <row r="10" spans="1:8">
      <c r="A10" t="s">
        <v>8</v>
      </c>
      <c r="B10" t="s">
        <v>26</v>
      </c>
      <c r="C10" t="s">
        <v>27</v>
      </c>
      <c r="D10" s="2">
        <f>_xlfn.XLOOKUP(C10,SQL!C10:C67,SQL!D10:D67)</f>
        <v>886190018544</v>
      </c>
      <c r="E10" t="s">
        <v>11</v>
      </c>
      <c r="F10" s="1">
        <v>0</v>
      </c>
      <c r="G10" s="1">
        <v>3000</v>
      </c>
      <c r="H10" s="1">
        <v>2199818</v>
      </c>
    </row>
    <row r="11" spans="1:8">
      <c r="A11" t="s">
        <v>8</v>
      </c>
      <c r="B11" t="s">
        <v>28</v>
      </c>
      <c r="C11" t="s">
        <v>29</v>
      </c>
      <c r="D11" s="2">
        <f>_xlfn.XLOOKUP(C11,SQL!C11:C68,SQL!D11:D68)</f>
        <v>886190363974</v>
      </c>
      <c r="E11" t="s">
        <v>11</v>
      </c>
      <c r="F11" s="1">
        <v>0</v>
      </c>
      <c r="G11" s="1">
        <v>3000</v>
      </c>
      <c r="H11" s="1">
        <v>2202818</v>
      </c>
    </row>
    <row r="12" spans="1:8">
      <c r="A12" t="s">
        <v>8</v>
      </c>
      <c r="B12" t="s">
        <v>30</v>
      </c>
      <c r="C12" t="s">
        <v>31</v>
      </c>
      <c r="D12" s="2">
        <v>886189949608</v>
      </c>
      <c r="E12" t="s">
        <v>11</v>
      </c>
      <c r="F12" s="1">
        <v>0</v>
      </c>
      <c r="G12" s="1">
        <v>48000</v>
      </c>
      <c r="H12" s="1">
        <v>2250818</v>
      </c>
    </row>
    <row r="13" spans="1:8">
      <c r="A13" t="s">
        <v>8</v>
      </c>
      <c r="B13" t="s">
        <v>32</v>
      </c>
      <c r="C13" t="s">
        <v>33</v>
      </c>
      <c r="D13" s="2">
        <v>886190413885</v>
      </c>
      <c r="E13" t="s">
        <v>11</v>
      </c>
      <c r="F13" s="1">
        <v>0</v>
      </c>
      <c r="G13" s="1">
        <v>24000</v>
      </c>
      <c r="H13" s="1">
        <v>2274818</v>
      </c>
    </row>
    <row r="14" spans="1:8">
      <c r="A14" t="s">
        <v>8</v>
      </c>
      <c r="B14" t="s">
        <v>34</v>
      </c>
      <c r="C14" t="s">
        <v>35</v>
      </c>
      <c r="D14" s="2">
        <f>_xlfn.XLOOKUP(C14,SQL!C14:C71,SQL!D14:D71)</f>
        <v>886190077107</v>
      </c>
      <c r="E14" t="s">
        <v>11</v>
      </c>
      <c r="F14" s="1">
        <v>0</v>
      </c>
      <c r="G14" s="1">
        <v>15000</v>
      </c>
      <c r="H14" s="1">
        <v>2289818</v>
      </c>
    </row>
    <row r="15" spans="1:8">
      <c r="A15" t="s">
        <v>8</v>
      </c>
      <c r="B15" t="s">
        <v>36</v>
      </c>
      <c r="C15" t="s">
        <v>37</v>
      </c>
      <c r="D15" s="2">
        <f>_xlfn.XLOOKUP(C15,SQL!C15:C72,SQL!D15:D72)</f>
        <v>886190148907</v>
      </c>
      <c r="E15" t="s">
        <v>11</v>
      </c>
      <c r="F15" s="1">
        <v>0</v>
      </c>
      <c r="G15" s="1">
        <v>9000</v>
      </c>
      <c r="H15" s="1">
        <v>2298818</v>
      </c>
    </row>
    <row r="16" spans="1:8">
      <c r="A16" t="s">
        <v>8</v>
      </c>
      <c r="B16" t="s">
        <v>38</v>
      </c>
      <c r="C16" t="s">
        <v>39</v>
      </c>
      <c r="D16" s="2">
        <f>_xlfn.XLOOKUP(C16,SQL!C16:C73,SQL!D16:D73)</f>
        <v>886190304094</v>
      </c>
      <c r="E16" t="s">
        <v>11</v>
      </c>
      <c r="F16" s="1">
        <v>0</v>
      </c>
      <c r="G16" s="1">
        <v>10000</v>
      </c>
      <c r="H16" s="1">
        <v>2308818</v>
      </c>
    </row>
    <row r="17" spans="1:8">
      <c r="A17" t="s">
        <v>8</v>
      </c>
      <c r="B17" t="s">
        <v>40</v>
      </c>
      <c r="C17" t="s">
        <v>41</v>
      </c>
      <c r="D17" s="2">
        <f>_xlfn.XLOOKUP(C17,SQL!C17:C74,SQL!D17:D74)</f>
        <v>886190391487</v>
      </c>
      <c r="E17" t="s">
        <v>11</v>
      </c>
      <c r="F17" s="1">
        <v>0</v>
      </c>
      <c r="G17" s="1">
        <v>40000</v>
      </c>
      <c r="H17" s="1">
        <v>2348818</v>
      </c>
    </row>
    <row r="18" spans="1:8">
      <c r="A18" t="s">
        <v>8</v>
      </c>
      <c r="B18" t="s">
        <v>42</v>
      </c>
      <c r="C18" t="s">
        <v>43</v>
      </c>
      <c r="D18" s="2">
        <f>_xlfn.XLOOKUP(C18,SQL!C18:C75,SQL!D18:D75)</f>
        <v>886190007499</v>
      </c>
      <c r="E18" t="s">
        <v>11</v>
      </c>
      <c r="F18" s="1">
        <v>0</v>
      </c>
      <c r="G18" s="1">
        <v>3000</v>
      </c>
      <c r="H18" s="1">
        <v>2351818</v>
      </c>
    </row>
    <row r="19" spans="1:8">
      <c r="A19" t="s">
        <v>8</v>
      </c>
      <c r="B19" t="s">
        <v>44</v>
      </c>
      <c r="C19" t="s">
        <v>45</v>
      </c>
      <c r="D19" s="2">
        <f>_xlfn.XLOOKUP(C19,SQL!C19:C76,SQL!D19:D76)</f>
        <v>886190290767</v>
      </c>
      <c r="E19" t="s">
        <v>11</v>
      </c>
      <c r="F19" s="1">
        <v>0</v>
      </c>
      <c r="G19" s="1">
        <v>5000</v>
      </c>
      <c r="H19" s="1">
        <v>2356818</v>
      </c>
    </row>
    <row r="20" spans="1:8">
      <c r="A20" t="s">
        <v>8</v>
      </c>
      <c r="B20" t="s">
        <v>46</v>
      </c>
      <c r="C20" t="s">
        <v>47</v>
      </c>
      <c r="D20" s="2">
        <f>_xlfn.XLOOKUP(C20,SQL!C20:C77,SQL!D20:D77)</f>
        <v>886190933178</v>
      </c>
      <c r="E20" t="s">
        <v>11</v>
      </c>
      <c r="F20" s="1">
        <v>0</v>
      </c>
      <c r="G20" s="1">
        <v>16000</v>
      </c>
      <c r="H20" s="1">
        <v>2372818</v>
      </c>
    </row>
    <row r="21" spans="1:8">
      <c r="A21" t="s">
        <v>8</v>
      </c>
      <c r="B21" t="s">
        <v>48</v>
      </c>
      <c r="C21" t="s">
        <v>49</v>
      </c>
      <c r="D21" s="2">
        <f>_xlfn.XLOOKUP(C21,SQL!C21:C78,SQL!D21:D78)</f>
        <v>886190718451</v>
      </c>
      <c r="E21" t="s">
        <v>11</v>
      </c>
      <c r="F21" s="1">
        <v>0</v>
      </c>
      <c r="G21" s="1">
        <v>500</v>
      </c>
      <c r="H21" s="1">
        <v>2373318</v>
      </c>
    </row>
    <row r="22" spans="1:8">
      <c r="A22" t="s">
        <v>8</v>
      </c>
      <c r="B22" t="s">
        <v>50</v>
      </c>
      <c r="C22" t="s">
        <v>51</v>
      </c>
      <c r="D22" s="2">
        <v>886190491590</v>
      </c>
      <c r="E22" t="s">
        <v>11</v>
      </c>
      <c r="F22" s="1">
        <v>0</v>
      </c>
      <c r="G22" s="1">
        <v>26000</v>
      </c>
      <c r="H22" s="1">
        <v>2399318</v>
      </c>
    </row>
    <row r="23" spans="1:8">
      <c r="A23" t="s">
        <v>8</v>
      </c>
      <c r="B23" t="s">
        <v>52</v>
      </c>
      <c r="C23" t="s">
        <v>53</v>
      </c>
      <c r="D23" s="2">
        <f>_xlfn.XLOOKUP(C23,SQL!C23:C80,SQL!D23:D80)</f>
        <v>886190119719</v>
      </c>
      <c r="E23" t="s">
        <v>11</v>
      </c>
      <c r="F23" s="1">
        <v>0</v>
      </c>
      <c r="G23" s="1">
        <v>9000</v>
      </c>
      <c r="H23" s="1">
        <v>2408318</v>
      </c>
    </row>
    <row r="24" spans="1:8">
      <c r="A24" t="s">
        <v>8</v>
      </c>
      <c r="B24" t="s">
        <v>54</v>
      </c>
      <c r="C24" t="s">
        <v>55</v>
      </c>
      <c r="D24" s="2">
        <v>886190611368</v>
      </c>
      <c r="E24" t="s">
        <v>11</v>
      </c>
      <c r="F24" s="1">
        <v>0</v>
      </c>
      <c r="G24" s="1">
        <v>18000</v>
      </c>
      <c r="H24" s="1">
        <v>2426318</v>
      </c>
    </row>
    <row r="25" spans="1:8">
      <c r="A25" t="s">
        <v>8</v>
      </c>
      <c r="B25" t="s">
        <v>56</v>
      </c>
      <c r="C25" t="s">
        <v>57</v>
      </c>
      <c r="D25" s="2">
        <f>_xlfn.XLOOKUP(C25,SQL!C25:C82,SQL!D25:D82)</f>
        <v>886190220314</v>
      </c>
      <c r="E25" t="s">
        <v>11</v>
      </c>
      <c r="F25" s="1">
        <v>0</v>
      </c>
      <c r="G25" s="1">
        <v>500</v>
      </c>
      <c r="H25" s="1">
        <v>2426818</v>
      </c>
    </row>
    <row r="26" spans="1:8">
      <c r="A26" t="s">
        <v>8</v>
      </c>
      <c r="B26" t="s">
        <v>58</v>
      </c>
      <c r="C26" t="s">
        <v>59</v>
      </c>
      <c r="D26" s="2">
        <v>886190645722</v>
      </c>
      <c r="E26" t="s">
        <v>11</v>
      </c>
      <c r="F26" s="1">
        <v>0</v>
      </c>
      <c r="G26" s="1">
        <v>15000</v>
      </c>
      <c r="H26" s="1">
        <v>2441818</v>
      </c>
    </row>
    <row r="27" spans="1:8">
      <c r="A27" t="s">
        <v>8</v>
      </c>
      <c r="B27" t="s">
        <v>60</v>
      </c>
      <c r="C27" t="s">
        <v>61</v>
      </c>
      <c r="D27" s="2">
        <f>_xlfn.XLOOKUP(C27,SQL!C27:C84,SQL!D27:D84)</f>
        <v>886190344285</v>
      </c>
      <c r="E27" t="s">
        <v>11</v>
      </c>
      <c r="F27" s="1">
        <v>0</v>
      </c>
      <c r="G27" s="1">
        <v>500</v>
      </c>
      <c r="H27" s="1">
        <v>2442318</v>
      </c>
    </row>
    <row r="28" spans="1:8">
      <c r="A28" t="s">
        <v>8</v>
      </c>
      <c r="B28" t="s">
        <v>62</v>
      </c>
      <c r="C28" t="s">
        <v>63</v>
      </c>
      <c r="D28" s="2">
        <v>886190400212</v>
      </c>
      <c r="E28" t="s">
        <v>11</v>
      </c>
      <c r="F28" s="1">
        <v>0</v>
      </c>
      <c r="G28" s="1">
        <v>6000</v>
      </c>
      <c r="H28" s="1">
        <v>2448318</v>
      </c>
    </row>
    <row r="29" spans="1:8">
      <c r="A29" t="s">
        <v>8</v>
      </c>
      <c r="B29" t="s">
        <v>64</v>
      </c>
      <c r="C29" t="s">
        <v>65</v>
      </c>
      <c r="D29" s="2">
        <f>_xlfn.XLOOKUP(C29,SQL!C29:C86,SQL!D29:D86)</f>
        <v>886190684022</v>
      </c>
      <c r="E29" t="s">
        <v>11</v>
      </c>
      <c r="F29" s="1">
        <v>0</v>
      </c>
      <c r="G29" s="1">
        <v>100000</v>
      </c>
      <c r="H29" s="1">
        <v>2548318</v>
      </c>
    </row>
    <row r="30" spans="1:8">
      <c r="A30" t="s">
        <v>8</v>
      </c>
      <c r="B30" t="s">
        <v>66</v>
      </c>
      <c r="C30" t="s">
        <v>67</v>
      </c>
      <c r="D30" s="2">
        <f>_xlfn.XLOOKUP(C30,SQL!C30:C87,SQL!D30:D87)</f>
        <v>886190838141</v>
      </c>
      <c r="E30" t="s">
        <v>11</v>
      </c>
      <c r="F30" s="1">
        <v>0</v>
      </c>
      <c r="G30" s="1">
        <v>1000</v>
      </c>
      <c r="H30" s="1">
        <v>2549318</v>
      </c>
    </row>
    <row r="31" spans="1:8">
      <c r="A31" t="s">
        <v>8</v>
      </c>
      <c r="B31" t="s">
        <v>68</v>
      </c>
      <c r="C31" t="s">
        <v>69</v>
      </c>
      <c r="D31" s="2">
        <f>_xlfn.XLOOKUP(C31,SQL!C31:C88,SQL!D31:D88)</f>
        <v>886190580763</v>
      </c>
      <c r="E31" t="s">
        <v>11</v>
      </c>
      <c r="F31" s="1">
        <v>0</v>
      </c>
      <c r="G31" s="1">
        <v>25000</v>
      </c>
      <c r="H31" s="1">
        <v>2574318</v>
      </c>
    </row>
    <row r="32" spans="1:8">
      <c r="A32" t="s">
        <v>8</v>
      </c>
      <c r="B32" t="s">
        <v>70</v>
      </c>
      <c r="C32" t="s">
        <v>71</v>
      </c>
      <c r="D32" s="2">
        <f>_xlfn.XLOOKUP(C32,SQL!C32:C89,SQL!D32:D89)</f>
        <v>886190048820</v>
      </c>
      <c r="E32" t="s">
        <v>11</v>
      </c>
      <c r="F32" s="1">
        <v>0</v>
      </c>
      <c r="G32" s="1">
        <v>9000</v>
      </c>
      <c r="H32" s="1">
        <v>2583318</v>
      </c>
    </row>
    <row r="33" spans="1:8">
      <c r="A33" t="s">
        <v>8</v>
      </c>
      <c r="B33" t="s">
        <v>72</v>
      </c>
      <c r="C33" t="s">
        <v>73</v>
      </c>
      <c r="D33" s="2">
        <f>_xlfn.XLOOKUP(C33,SQL!C33:C90,SQL!D33:D90)</f>
        <v>886190759609</v>
      </c>
      <c r="E33" t="s">
        <v>11</v>
      </c>
      <c r="F33" s="1">
        <v>0</v>
      </c>
      <c r="G33" s="1">
        <v>15000</v>
      </c>
      <c r="H33" s="1">
        <v>2598318</v>
      </c>
    </row>
    <row r="34" spans="1:8">
      <c r="A34" t="s">
        <v>8</v>
      </c>
      <c r="B34" t="s">
        <v>74</v>
      </c>
      <c r="C34" t="s">
        <v>75</v>
      </c>
      <c r="D34" s="2">
        <f>_xlfn.XLOOKUP(C34,SQL!C34:C91,SQL!D34:D91)</f>
        <v>886190457447</v>
      </c>
      <c r="E34" t="s">
        <v>11</v>
      </c>
      <c r="F34" s="1">
        <v>0</v>
      </c>
      <c r="G34" s="1">
        <v>5000</v>
      </c>
      <c r="H34" s="1">
        <v>2603318</v>
      </c>
    </row>
    <row r="35" spans="1:8">
      <c r="A35" t="s">
        <v>8</v>
      </c>
      <c r="B35" t="s">
        <v>76</v>
      </c>
      <c r="C35" t="s">
        <v>77</v>
      </c>
      <c r="D35" s="2">
        <v>886190550120</v>
      </c>
      <c r="E35" t="s">
        <v>11</v>
      </c>
      <c r="F35" s="1">
        <v>0</v>
      </c>
      <c r="G35" s="1">
        <v>9000</v>
      </c>
      <c r="H35" s="1">
        <v>2612318</v>
      </c>
    </row>
    <row r="36" spans="1:8">
      <c r="A36" t="s">
        <v>8</v>
      </c>
      <c r="B36" t="s">
        <v>78</v>
      </c>
      <c r="C36">
        <v>20144504820</v>
      </c>
      <c r="D36" s="2">
        <v>876190755008</v>
      </c>
      <c r="E36" t="s">
        <v>11</v>
      </c>
      <c r="F36" s="1">
        <v>0</v>
      </c>
      <c r="G36" s="1">
        <v>2081000</v>
      </c>
      <c r="H36" s="1">
        <v>4693318</v>
      </c>
    </row>
    <row r="37" spans="1:8">
      <c r="A37" t="s">
        <v>8</v>
      </c>
      <c r="B37" t="s">
        <v>79</v>
      </c>
      <c r="C37" t="s">
        <v>80</v>
      </c>
      <c r="D37" s="2">
        <f>_xlfn.XLOOKUP(C37,SQL!C37:C94,SQL!D37:D94)</f>
        <v>886190312217</v>
      </c>
      <c r="E37" t="s">
        <v>11</v>
      </c>
      <c r="F37" s="1">
        <v>0</v>
      </c>
      <c r="G37" s="1">
        <v>10000</v>
      </c>
      <c r="H37" s="1">
        <v>4703318</v>
      </c>
    </row>
    <row r="38" spans="1:8">
      <c r="A38" t="s">
        <v>8</v>
      </c>
      <c r="B38" t="s">
        <v>81</v>
      </c>
      <c r="C38" t="s">
        <v>82</v>
      </c>
      <c r="D38" s="2">
        <v>886190735289</v>
      </c>
      <c r="E38" t="s">
        <v>11</v>
      </c>
      <c r="F38" s="1">
        <v>0</v>
      </c>
      <c r="G38" s="1">
        <v>25000</v>
      </c>
      <c r="H38" s="1">
        <v>4728318</v>
      </c>
    </row>
    <row r="39" spans="1:8">
      <c r="A39" t="s">
        <v>8</v>
      </c>
      <c r="B39" t="s">
        <v>83</v>
      </c>
      <c r="C39" t="s">
        <v>84</v>
      </c>
      <c r="D39" s="2">
        <v>886190806552</v>
      </c>
      <c r="E39" t="s">
        <v>11</v>
      </c>
      <c r="F39" s="1">
        <v>0</v>
      </c>
      <c r="G39" s="1">
        <v>5000</v>
      </c>
      <c r="H39" s="1">
        <v>4733318</v>
      </c>
    </row>
    <row r="40" spans="1:8">
      <c r="A40" t="s">
        <v>8</v>
      </c>
      <c r="B40" t="s">
        <v>85</v>
      </c>
      <c r="C40" t="s">
        <v>86</v>
      </c>
      <c r="D40" s="2">
        <v>886190169606</v>
      </c>
      <c r="E40" t="s">
        <v>11</v>
      </c>
      <c r="F40" s="1">
        <v>0</v>
      </c>
      <c r="G40" s="1">
        <v>25000</v>
      </c>
      <c r="H40" s="1">
        <v>4758318</v>
      </c>
    </row>
    <row r="41" spans="1:8">
      <c r="A41" t="s">
        <v>8</v>
      </c>
      <c r="B41" t="s">
        <v>87</v>
      </c>
      <c r="C41" t="s">
        <v>88</v>
      </c>
      <c r="D41" s="2">
        <v>886190714300</v>
      </c>
      <c r="E41" t="s">
        <v>11</v>
      </c>
      <c r="F41" s="1">
        <v>0</v>
      </c>
      <c r="G41" s="1">
        <v>10000</v>
      </c>
      <c r="H41" s="1">
        <v>4768318</v>
      </c>
    </row>
    <row r="42" spans="1:8">
      <c r="A42" t="s">
        <v>8</v>
      </c>
      <c r="B42" t="s">
        <v>89</v>
      </c>
      <c r="C42" t="s">
        <v>90</v>
      </c>
      <c r="D42" s="2">
        <f>_xlfn.XLOOKUP(C42,SQL!C42:C99,SQL!D42:D99)</f>
        <v>886190929254</v>
      </c>
      <c r="E42" t="s">
        <v>11</v>
      </c>
      <c r="F42" s="1">
        <v>0</v>
      </c>
      <c r="G42" s="1">
        <v>15000</v>
      </c>
      <c r="H42" s="1">
        <v>4783318</v>
      </c>
    </row>
    <row r="43" spans="1:8">
      <c r="A43" t="s">
        <v>8</v>
      </c>
      <c r="B43" t="s">
        <v>91</v>
      </c>
      <c r="C43" t="s">
        <v>92</v>
      </c>
      <c r="D43" s="2">
        <v>886190355961</v>
      </c>
      <c r="E43" t="s">
        <v>11</v>
      </c>
      <c r="F43" s="1">
        <v>0</v>
      </c>
      <c r="G43" s="1">
        <v>55000</v>
      </c>
      <c r="H43" s="1">
        <v>4838318</v>
      </c>
    </row>
    <row r="44" spans="1:8">
      <c r="A44" t="s">
        <v>8</v>
      </c>
      <c r="B44" t="s">
        <v>93</v>
      </c>
      <c r="C44" t="s">
        <v>94</v>
      </c>
      <c r="D44" s="2">
        <f>_xlfn.XLOOKUP(C44,SQL!C44:C101,SQL!D44:D101)</f>
        <v>886190171162</v>
      </c>
      <c r="E44" t="s">
        <v>11</v>
      </c>
      <c r="F44" s="1">
        <v>0</v>
      </c>
      <c r="G44" s="1">
        <v>10000</v>
      </c>
      <c r="H44" s="1">
        <v>4848318</v>
      </c>
    </row>
    <row r="45" spans="1:8">
      <c r="A45" t="s">
        <v>8</v>
      </c>
      <c r="B45" t="s">
        <v>95</v>
      </c>
      <c r="C45" t="s">
        <v>96</v>
      </c>
      <c r="D45" s="2">
        <f>_xlfn.XLOOKUP(C45,SQL!C45:C102,SQL!D45:D102)</f>
        <v>886190724400</v>
      </c>
      <c r="E45" t="s">
        <v>11</v>
      </c>
      <c r="F45" s="1">
        <v>0</v>
      </c>
      <c r="G45" s="1">
        <v>5000</v>
      </c>
      <c r="H45" s="1">
        <v>4853318</v>
      </c>
    </row>
    <row r="46" spans="1:8">
      <c r="A46" t="s">
        <v>8</v>
      </c>
      <c r="B46" t="s">
        <v>97</v>
      </c>
      <c r="C46" t="s">
        <v>98</v>
      </c>
      <c r="D46" s="2">
        <f>_xlfn.XLOOKUP(C46,SQL!C46:C103,SQL!D46:D103)</f>
        <v>886190387752</v>
      </c>
      <c r="E46" t="s">
        <v>11</v>
      </c>
      <c r="F46" s="1">
        <v>0</v>
      </c>
      <c r="G46" s="1">
        <v>40000</v>
      </c>
      <c r="H46" s="1">
        <v>4893318</v>
      </c>
    </row>
    <row r="47" spans="1:8">
      <c r="A47" t="s">
        <v>8</v>
      </c>
      <c r="B47" t="s">
        <v>99</v>
      </c>
      <c r="C47" t="s">
        <v>100</v>
      </c>
      <c r="D47" s="2">
        <v>886190395789</v>
      </c>
      <c r="E47" t="s">
        <v>11</v>
      </c>
      <c r="F47" s="1">
        <v>0</v>
      </c>
      <c r="G47" s="1">
        <v>20000</v>
      </c>
      <c r="H47" s="1">
        <v>4913318</v>
      </c>
    </row>
    <row r="48" spans="1:8">
      <c r="A48" t="s">
        <v>8</v>
      </c>
      <c r="B48" t="s">
        <v>101</v>
      </c>
      <c r="C48" t="s">
        <v>102</v>
      </c>
      <c r="D48" s="2">
        <v>886190835436</v>
      </c>
      <c r="E48" t="s">
        <v>11</v>
      </c>
      <c r="F48" s="1">
        <v>0</v>
      </c>
      <c r="G48" s="1">
        <v>9000</v>
      </c>
      <c r="H48" s="1">
        <v>4922318</v>
      </c>
    </row>
    <row r="49" spans="1:8">
      <c r="A49" t="s">
        <v>8</v>
      </c>
      <c r="B49" t="s">
        <v>103</v>
      </c>
      <c r="C49" t="s">
        <v>104</v>
      </c>
      <c r="D49" s="2">
        <v>886190427229</v>
      </c>
      <c r="E49" t="s">
        <v>11</v>
      </c>
      <c r="F49" s="1">
        <v>0</v>
      </c>
      <c r="G49" s="1">
        <v>40000</v>
      </c>
      <c r="H49" s="1">
        <v>4962318</v>
      </c>
    </row>
    <row r="50" spans="1:8">
      <c r="A50" t="s">
        <v>8</v>
      </c>
      <c r="B50" t="s">
        <v>105</v>
      </c>
      <c r="C50" t="s">
        <v>106</v>
      </c>
      <c r="D50" s="2">
        <v>886190979298</v>
      </c>
      <c r="E50" t="s">
        <v>11</v>
      </c>
      <c r="F50" s="1">
        <v>0</v>
      </c>
      <c r="G50" s="1">
        <v>15000</v>
      </c>
      <c r="H50" s="1">
        <v>4977318</v>
      </c>
    </row>
    <row r="51" spans="1:8">
      <c r="A51" t="s">
        <v>8</v>
      </c>
      <c r="B51" t="s">
        <v>107</v>
      </c>
      <c r="C51" t="s">
        <v>108</v>
      </c>
      <c r="D51" s="2">
        <v>886190874791</v>
      </c>
      <c r="E51" t="s">
        <v>11</v>
      </c>
      <c r="F51" s="1">
        <v>0</v>
      </c>
      <c r="G51" s="1">
        <v>4000</v>
      </c>
      <c r="H51" s="1">
        <v>4981318</v>
      </c>
    </row>
    <row r="52" spans="1:8">
      <c r="A52" t="s">
        <v>8</v>
      </c>
      <c r="B52" t="s">
        <v>109</v>
      </c>
      <c r="C52" t="s">
        <v>110</v>
      </c>
      <c r="D52" s="2">
        <v>886190320169</v>
      </c>
      <c r="E52" t="s">
        <v>11</v>
      </c>
      <c r="F52" s="1">
        <v>0</v>
      </c>
      <c r="G52" s="1">
        <v>20000</v>
      </c>
      <c r="H52" s="1">
        <v>5001318</v>
      </c>
    </row>
    <row r="53" spans="1:8">
      <c r="A53" t="s">
        <v>8</v>
      </c>
      <c r="B53" t="s">
        <v>111</v>
      </c>
      <c r="C53" t="s">
        <v>112</v>
      </c>
      <c r="D53" s="2">
        <v>886190831208</v>
      </c>
      <c r="E53" t="s">
        <v>11</v>
      </c>
      <c r="F53" s="1">
        <v>0</v>
      </c>
      <c r="G53" s="1">
        <v>12000</v>
      </c>
      <c r="H53" s="1">
        <v>5013318</v>
      </c>
    </row>
    <row r="54" spans="1:8">
      <c r="A54" t="s">
        <v>8</v>
      </c>
      <c r="B54" t="s">
        <v>113</v>
      </c>
      <c r="C54" t="s">
        <v>114</v>
      </c>
      <c r="D54" s="2">
        <v>886190231070</v>
      </c>
      <c r="E54" t="s">
        <v>11</v>
      </c>
      <c r="F54" s="1">
        <v>0</v>
      </c>
      <c r="G54" s="1">
        <v>12000</v>
      </c>
      <c r="H54" s="1">
        <v>5025318</v>
      </c>
    </row>
    <row r="55" spans="1:8">
      <c r="A55" t="s">
        <v>8</v>
      </c>
      <c r="B55" t="s">
        <v>115</v>
      </c>
      <c r="C55" t="s">
        <v>116</v>
      </c>
      <c r="D55" s="2">
        <v>886190286762</v>
      </c>
      <c r="E55" t="s">
        <v>11</v>
      </c>
      <c r="F55" s="1">
        <v>0</v>
      </c>
      <c r="G55" s="1">
        <v>5000</v>
      </c>
      <c r="H55" s="1">
        <v>5030318</v>
      </c>
    </row>
    <row r="56" spans="1:8">
      <c r="A56" t="s">
        <v>8</v>
      </c>
      <c r="B56" t="s">
        <v>117</v>
      </c>
      <c r="C56" t="s">
        <v>118</v>
      </c>
      <c r="D56" s="2">
        <v>886190836330</v>
      </c>
      <c r="E56" t="s">
        <v>11</v>
      </c>
      <c r="F56" s="1">
        <v>0</v>
      </c>
      <c r="G56" s="1">
        <v>500</v>
      </c>
      <c r="H56" s="1">
        <v>5030818</v>
      </c>
    </row>
    <row r="57" spans="1:8">
      <c r="A57" t="s">
        <v>8</v>
      </c>
      <c r="B57" t="s">
        <v>119</v>
      </c>
      <c r="C57" t="s">
        <v>120</v>
      </c>
      <c r="D57" s="2">
        <v>886190590465</v>
      </c>
      <c r="E57" t="s">
        <v>11</v>
      </c>
      <c r="F57" s="1">
        <v>0</v>
      </c>
      <c r="G57" s="1">
        <v>30000</v>
      </c>
      <c r="H57" s="1">
        <v>5060818</v>
      </c>
    </row>
    <row r="58" spans="1:8">
      <c r="A58" t="s">
        <v>8</v>
      </c>
      <c r="B58" t="s">
        <v>121</v>
      </c>
      <c r="C58" t="s">
        <v>122</v>
      </c>
      <c r="D58" s="2">
        <v>886190570140</v>
      </c>
      <c r="E58" t="s">
        <v>11</v>
      </c>
      <c r="F58" s="1">
        <v>0</v>
      </c>
      <c r="G58" s="1">
        <v>9000</v>
      </c>
      <c r="H58" s="1">
        <v>5069818</v>
      </c>
    </row>
    <row r="59" spans="1:8">
      <c r="A59" t="s">
        <v>8</v>
      </c>
      <c r="B59" t="s">
        <v>123</v>
      </c>
      <c r="C59" t="s">
        <v>124</v>
      </c>
      <c r="D59" s="2">
        <v>886190538367</v>
      </c>
      <c r="E59" t="s">
        <v>11</v>
      </c>
      <c r="F59" s="1">
        <v>0</v>
      </c>
      <c r="G59" s="1">
        <v>15000</v>
      </c>
      <c r="H59" s="1">
        <v>5084818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D59"/>
  <sheetViews>
    <sheetView topLeftCell="A19" workbookViewId="0">
      <selection activeCell="D33" sqref="D33"/>
    </sheetView>
  </sheetViews>
  <sheetFormatPr defaultRowHeight="14.45"/>
  <cols>
    <col min="3" max="3" width="14.5703125" bestFit="1" customWidth="1"/>
    <col min="4" max="4" width="12.85546875" bestFit="1" customWidth="1"/>
  </cols>
  <sheetData>
    <row r="2" spans="3:4">
      <c r="C2">
        <v>20144495425</v>
      </c>
      <c r="D2" s="2">
        <v>886190491590</v>
      </c>
    </row>
    <row r="3" spans="3:4">
      <c r="C3">
        <v>20144495554</v>
      </c>
      <c r="D3" s="2">
        <v>886189949608</v>
      </c>
    </row>
    <row r="4" spans="3:4">
      <c r="C4">
        <v>20144495561</v>
      </c>
      <c r="D4" s="2">
        <v>886190611368</v>
      </c>
    </row>
    <row r="5" spans="3:4">
      <c r="C5">
        <v>20144495562</v>
      </c>
      <c r="D5" s="2">
        <v>886190413885</v>
      </c>
    </row>
    <row r="6" spans="3:4">
      <c r="C6">
        <v>20144495705</v>
      </c>
      <c r="D6" s="2">
        <v>886190231834</v>
      </c>
    </row>
    <row r="7" spans="3:4">
      <c r="C7">
        <v>20144504820</v>
      </c>
      <c r="D7" s="2">
        <v>876190755008</v>
      </c>
    </row>
    <row r="8" spans="3:4">
      <c r="C8" t="s">
        <v>110</v>
      </c>
      <c r="D8" s="2">
        <v>886190320169</v>
      </c>
    </row>
    <row r="9" spans="3:4">
      <c r="C9" t="s">
        <v>17</v>
      </c>
      <c r="D9" s="2">
        <v>886190949423</v>
      </c>
    </row>
    <row r="10" spans="3:4">
      <c r="C10" t="s">
        <v>21</v>
      </c>
      <c r="D10" s="2">
        <v>886190295845</v>
      </c>
    </row>
    <row r="11" spans="3:4">
      <c r="C11" t="s">
        <v>84</v>
      </c>
      <c r="D11" s="2">
        <v>886190806552</v>
      </c>
    </row>
    <row r="12" spans="3:4">
      <c r="C12" t="s">
        <v>112</v>
      </c>
      <c r="D12" s="2">
        <v>886190831208</v>
      </c>
    </row>
    <row r="13" spans="3:4">
      <c r="C13" t="s">
        <v>59</v>
      </c>
      <c r="D13" s="2">
        <v>886190645722</v>
      </c>
    </row>
    <row r="14" spans="3:4">
      <c r="C14" t="s">
        <v>118</v>
      </c>
      <c r="D14" s="2">
        <v>886190836330</v>
      </c>
    </row>
    <row r="15" spans="3:4">
      <c r="C15" t="s">
        <v>27</v>
      </c>
      <c r="D15" s="2">
        <v>886190018544</v>
      </c>
    </row>
    <row r="16" spans="3:4">
      <c r="C16" t="s">
        <v>10</v>
      </c>
      <c r="D16" s="2">
        <v>886190767071</v>
      </c>
    </row>
    <row r="17" spans="3:4">
      <c r="C17" t="s">
        <v>77</v>
      </c>
      <c r="D17" s="2">
        <v>886190550120</v>
      </c>
    </row>
    <row r="18" spans="3:4">
      <c r="C18" t="s">
        <v>63</v>
      </c>
      <c r="D18" s="2">
        <v>886190400212</v>
      </c>
    </row>
    <row r="19" spans="3:4">
      <c r="C19" t="s">
        <v>106</v>
      </c>
      <c r="D19" s="2">
        <v>886190979298</v>
      </c>
    </row>
    <row r="20" spans="3:4">
      <c r="C20" t="s">
        <v>43</v>
      </c>
      <c r="D20" s="2">
        <v>886190007499</v>
      </c>
    </row>
    <row r="21" spans="3:4">
      <c r="C21" t="s">
        <v>122</v>
      </c>
      <c r="D21" s="2">
        <v>886190570140</v>
      </c>
    </row>
    <row r="22" spans="3:4">
      <c r="C22" t="s">
        <v>108</v>
      </c>
      <c r="D22" s="2">
        <v>886190874791</v>
      </c>
    </row>
    <row r="23" spans="3:4">
      <c r="C23" t="s">
        <v>114</v>
      </c>
      <c r="D23" s="2">
        <v>886190231070</v>
      </c>
    </row>
    <row r="24" spans="3:4">
      <c r="C24" t="s">
        <v>49</v>
      </c>
      <c r="D24" s="2">
        <v>886190718451</v>
      </c>
    </row>
    <row r="25" spans="3:4">
      <c r="C25" t="s">
        <v>57</v>
      </c>
      <c r="D25" s="2">
        <v>886190220314</v>
      </c>
    </row>
    <row r="26" spans="3:4">
      <c r="C26" t="s">
        <v>82</v>
      </c>
      <c r="D26" s="2">
        <v>886190735289</v>
      </c>
    </row>
    <row r="27" spans="3:4">
      <c r="C27" t="s">
        <v>120</v>
      </c>
      <c r="D27" s="2">
        <v>886190590465</v>
      </c>
    </row>
    <row r="28" spans="3:4">
      <c r="C28" t="s">
        <v>104</v>
      </c>
      <c r="D28" s="2">
        <v>886190427229</v>
      </c>
    </row>
    <row r="29" spans="3:4">
      <c r="C29" t="s">
        <v>102</v>
      </c>
      <c r="D29" s="2">
        <v>886190835436</v>
      </c>
    </row>
    <row r="30" spans="3:4">
      <c r="C30" t="s">
        <v>86</v>
      </c>
      <c r="D30" s="2">
        <v>886190169606</v>
      </c>
    </row>
    <row r="31" spans="3:4">
      <c r="C31" t="s">
        <v>65</v>
      </c>
      <c r="D31" s="2">
        <v>886190684022</v>
      </c>
    </row>
    <row r="32" spans="3:4">
      <c r="C32" t="s">
        <v>45</v>
      </c>
      <c r="D32" s="2">
        <v>886190290767</v>
      </c>
    </row>
    <row r="33" spans="3:4">
      <c r="C33" t="s">
        <v>124</v>
      </c>
      <c r="D33" s="2">
        <v>886190538367</v>
      </c>
    </row>
    <row r="34" spans="3:4">
      <c r="C34" t="s">
        <v>25</v>
      </c>
      <c r="D34" s="2">
        <v>886190470267</v>
      </c>
    </row>
    <row r="35" spans="3:4">
      <c r="C35" t="s">
        <v>71</v>
      </c>
      <c r="D35" s="2">
        <v>886190048820</v>
      </c>
    </row>
    <row r="36" spans="3:4">
      <c r="C36" t="s">
        <v>73</v>
      </c>
      <c r="D36" s="2">
        <v>886190759609</v>
      </c>
    </row>
    <row r="37" spans="3:4">
      <c r="C37" t="s">
        <v>47</v>
      </c>
      <c r="D37" s="2">
        <v>886190933178</v>
      </c>
    </row>
    <row r="38" spans="3:4">
      <c r="C38" t="s">
        <v>88</v>
      </c>
      <c r="D38" s="2">
        <v>886190714300</v>
      </c>
    </row>
    <row r="39" spans="3:4">
      <c r="C39" t="s">
        <v>92</v>
      </c>
      <c r="D39" s="2">
        <v>886190355961</v>
      </c>
    </row>
    <row r="40" spans="3:4">
      <c r="C40" t="s">
        <v>100</v>
      </c>
      <c r="D40" s="2">
        <v>886190395789</v>
      </c>
    </row>
    <row r="41" spans="3:4">
      <c r="C41" t="s">
        <v>116</v>
      </c>
      <c r="D41" s="2">
        <v>886190286762</v>
      </c>
    </row>
    <row r="42" spans="3:4">
      <c r="C42" t="s">
        <v>19</v>
      </c>
      <c r="D42" s="2">
        <v>886190197992</v>
      </c>
    </row>
    <row r="43" spans="3:4">
      <c r="C43" t="s">
        <v>35</v>
      </c>
      <c r="D43" s="2">
        <v>886190077107</v>
      </c>
    </row>
    <row r="44" spans="3:4">
      <c r="C44" t="s">
        <v>29</v>
      </c>
      <c r="D44" s="2">
        <v>886190363974</v>
      </c>
    </row>
    <row r="45" spans="3:4">
      <c r="C45" t="s">
        <v>96</v>
      </c>
      <c r="D45" s="2">
        <v>886190724400</v>
      </c>
    </row>
    <row r="46" spans="3:4">
      <c r="C46" t="s">
        <v>67</v>
      </c>
      <c r="D46" s="2">
        <v>886190838141</v>
      </c>
    </row>
    <row r="47" spans="3:4">
      <c r="C47" t="s">
        <v>23</v>
      </c>
      <c r="D47" s="2">
        <v>886190044774</v>
      </c>
    </row>
    <row r="48" spans="3:4">
      <c r="C48" t="s">
        <v>98</v>
      </c>
      <c r="D48" s="2">
        <v>886190387752</v>
      </c>
    </row>
    <row r="49" spans="3:4">
      <c r="C49" t="s">
        <v>41</v>
      </c>
      <c r="D49" s="2">
        <v>886190391487</v>
      </c>
    </row>
    <row r="50" spans="3:4">
      <c r="C50" t="s">
        <v>94</v>
      </c>
      <c r="D50" s="2">
        <v>886190171162</v>
      </c>
    </row>
    <row r="51" spans="3:4">
      <c r="C51" t="s">
        <v>69</v>
      </c>
      <c r="D51" s="2">
        <v>886190580763</v>
      </c>
    </row>
    <row r="52" spans="3:4">
      <c r="C52" t="s">
        <v>15</v>
      </c>
      <c r="D52" s="2">
        <v>886190688865</v>
      </c>
    </row>
    <row r="53" spans="3:4">
      <c r="C53" t="s">
        <v>90</v>
      </c>
      <c r="D53" s="2">
        <v>886190929254</v>
      </c>
    </row>
    <row r="54" spans="3:4">
      <c r="C54" t="s">
        <v>53</v>
      </c>
      <c r="D54" s="2">
        <v>886190119719</v>
      </c>
    </row>
    <row r="55" spans="3:4">
      <c r="C55" t="s">
        <v>80</v>
      </c>
      <c r="D55" s="2">
        <v>886190312217</v>
      </c>
    </row>
    <row r="56" spans="3:4">
      <c r="C56" t="s">
        <v>75</v>
      </c>
      <c r="D56" s="2">
        <v>886190457447</v>
      </c>
    </row>
    <row r="57" spans="3:4">
      <c r="C57" t="s">
        <v>39</v>
      </c>
      <c r="D57" s="2">
        <v>886190304094</v>
      </c>
    </row>
    <row r="58" spans="3:4">
      <c r="C58" t="s">
        <v>61</v>
      </c>
      <c r="D58" s="2">
        <v>886190344285</v>
      </c>
    </row>
    <row r="59" spans="3:4">
      <c r="C59" t="s">
        <v>37</v>
      </c>
      <c r="D59" s="2">
        <v>886190148907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2026-07-10T09:37:26Z</dcterms:created>
  <dcterms:modified xsi:type="dcterms:W3CDTF">2026-07-27T13:53:41Z</dcterms:modified>
  <cp:category/>
  <cp:contentStatus/>
</cp:coreProperties>
</file>