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F719D6E-8464-495C-9518-461804097C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" i="1"/>
</calcChain>
</file>

<file path=xl/sharedStrings.xml><?xml version="1.0" encoding="utf-8"?>
<sst xmlns="http://schemas.openxmlformats.org/spreadsheetml/2006/main" count="159" uniqueCount="103">
  <si>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</si>
  <si>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</si>
  <si>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</si>
  <si>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</si>
  <si>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</si>
  <si>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</si>
  <si>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</si>
  <si>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2026-09-14</t>
  </si>
  <si>
    <t xml:space="preserve"> </t>
  </si>
  <si>
    <t xml:space="preserve">Opening balance </t>
  </si>
  <si>
    <t>2026-09-15</t>
  </si>
  <si>
    <t>FT26258NTT5P</t>
  </si>
  <si>
    <t>SZABACPMXQXC</t>
  </si>
  <si>
    <t>2026-09-15 18:28:00</t>
  </si>
  <si>
    <t>FT26258CG4VG</t>
  </si>
  <si>
    <t>SZABACPLVTKN</t>
  </si>
  <si>
    <t>2026-09-15 18:05:00</t>
  </si>
  <si>
    <t>FT26258KGZSX</t>
  </si>
  <si>
    <t>SZABACPM3162</t>
  </si>
  <si>
    <t>2026-09-15 18:32:00</t>
  </si>
  <si>
    <t>FT26258QNZ8K</t>
  </si>
  <si>
    <t>SZABACN2TCF9</t>
  </si>
  <si>
    <t>2026-09-15 11:00:00</t>
  </si>
  <si>
    <t>FT26258QX6Z1</t>
  </si>
  <si>
    <t>2026-09-15 16:26:00</t>
  </si>
  <si>
    <t>FT262586R1FX</t>
  </si>
  <si>
    <t>2026-09-15 16:28:00</t>
  </si>
  <si>
    <t>FT26258YJZ9K</t>
  </si>
  <si>
    <t>2026-09-15 13:14:00</t>
  </si>
  <si>
    <t>FT262589FY7Y</t>
  </si>
  <si>
    <t>SZABACN2W2XJ</t>
  </si>
  <si>
    <t>2026-09-15 11:02:00</t>
  </si>
  <si>
    <t>FT26258XVJ97</t>
  </si>
  <si>
    <t>SZABACN08EVV</t>
  </si>
  <si>
    <t>2026-09-15 14:07:00</t>
  </si>
  <si>
    <t>FT2625855JS5</t>
  </si>
  <si>
    <t>2026-09-15 13:15:00</t>
  </si>
  <si>
    <t>FT26258WJTF3</t>
  </si>
  <si>
    <t>2026-09-15 16:31:00</t>
  </si>
  <si>
    <t>FT26258YXB03</t>
  </si>
  <si>
    <t>SZABACN1L6Y5</t>
  </si>
  <si>
    <t>2026-09-15 10:34:00</t>
  </si>
  <si>
    <t>FT2625808NF5</t>
  </si>
  <si>
    <t>SZABACPN47ML</t>
  </si>
  <si>
    <t>2026-09-15 18:55:00</t>
  </si>
  <si>
    <t>FT262581HFQF</t>
  </si>
  <si>
    <t>2026-09-15 16:48:00</t>
  </si>
  <si>
    <t>FT262581KP35</t>
  </si>
  <si>
    <t>SZABACPR5ZVS</t>
  </si>
  <si>
    <t>2026-09-15 20:02:00</t>
  </si>
  <si>
    <t>FT26258BV1S6</t>
  </si>
  <si>
    <t>SZABACN5PRLV</t>
  </si>
  <si>
    <t>2026-09-15 12:04:00</t>
  </si>
  <si>
    <t>FT26258TBMRG</t>
  </si>
  <si>
    <t>SZABACNZQW0M</t>
  </si>
  <si>
    <t>2026-09-15 10:14:00</t>
  </si>
  <si>
    <t>FT26258JQRMZ</t>
  </si>
  <si>
    <t>2026-09-15 16:32:00</t>
  </si>
  <si>
    <t>FT26258V7V3X</t>
  </si>
  <si>
    <t>2026-09-15 16:25:00</t>
  </si>
  <si>
    <t>FT26258XVMFC</t>
  </si>
  <si>
    <t>2026-09-15 13:24:00</t>
  </si>
  <si>
    <t>FT26258K3ZSM</t>
  </si>
  <si>
    <t>SZABACNYT7LK</t>
  </si>
  <si>
    <t>2026-09-15 09:54:00</t>
  </si>
  <si>
    <t>FT26258J46X8</t>
  </si>
  <si>
    <t>2026-09-15 16:51:00</t>
  </si>
  <si>
    <t>FT26258MTMSB</t>
  </si>
  <si>
    <t>SZABACPMV4T3</t>
  </si>
  <si>
    <t>2026-09-15 18:27:00</t>
  </si>
  <si>
    <t>FT26258N7JS5</t>
  </si>
  <si>
    <t>2026-09-15 17:08:00</t>
  </si>
  <si>
    <t>FT262587YCXW</t>
  </si>
  <si>
    <t>2026-09-15 16:46:00</t>
  </si>
  <si>
    <t>FT26258ZM7WC</t>
  </si>
  <si>
    <t>SZABACPNWTMG</t>
  </si>
  <si>
    <t>2026-09-15 18:50:00</t>
  </si>
  <si>
    <t>FT262580M3FF</t>
  </si>
  <si>
    <t>SZABACN59G99</t>
  </si>
  <si>
    <t>2026-09-15 12:17:00</t>
  </si>
  <si>
    <t>FT26258BQ5DQ</t>
  </si>
  <si>
    <t>SZABACPLRQ99</t>
  </si>
  <si>
    <t>2026-09-15 18:02:00</t>
  </si>
  <si>
    <t>FT262585SPJR</t>
  </si>
  <si>
    <t>SZABACPJ7V0S</t>
  </si>
  <si>
    <t>2026-09-15 17:27:00</t>
  </si>
  <si>
    <t>FT2625824BKK</t>
  </si>
  <si>
    <t>SZABACN3V42T</t>
  </si>
  <si>
    <t>2026-09-15 11:24:00</t>
  </si>
  <si>
    <t>FT26258QW6NW</t>
  </si>
  <si>
    <t>2026-09-15 13:25:00</t>
  </si>
  <si>
    <t>FT26258TP5X8</t>
  </si>
  <si>
    <t>SZABACN7EPQW</t>
  </si>
  <si>
    <t>2026-09-15 12:43:00</t>
  </si>
  <si>
    <t>FT262585RSGX</t>
  </si>
  <si>
    <t>2026-09-15 16:50:00</t>
  </si>
  <si>
    <t>FT262580B004</t>
  </si>
  <si>
    <t>SZABACNVJ0DR</t>
  </si>
  <si>
    <t>2026-09-15 08:41:00</t>
  </si>
  <si>
    <t>FT26258MM51Y</t>
  </si>
  <si>
    <t>SZABACN9A9JV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</si>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</sst>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2" fillId="3" borderId="1" xfId="1" applyBorder="1"/>
    <xf numFmtId="0" fontId="3" fillId="0" borderId="0" xfId="0" applyFont="1" applyAlignment="1">
      <alignment vertical="center"/>
    </xf>
    <xf numFmtId="0" fontId="3" fillId="0" borderId="0" xfId="0" applyFont="1"/>
    <xf numFmtId="0" fontId="0" fillId="2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workbookViewId="0">
      <pane ySplit="1" topLeftCell="A22" activePane="bottomLeft" state="frozen"/>
      <selection pane="bottomLeft" activeCell="C25" sqref="C25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5" style="1" bestFit="1" customWidth="1"/>
    <col min="4" max="4" width="15" style="1" customWidth="1"/>
    <col min="5" max="5" width="17.7265625" style="1" bestFit="1" customWidth="1"/>
    <col min="6" max="6" width="5.542968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33.5" customHeight="1">
      <c r="A1" s="4" t="s">
        <v>0</v>
      </c>
      <c r="B1" s="4" t="s">
        <v>1</v>
      </c>
      <c r="C1" s="4" t="s">
        <v>2</v>
      </c>
      <c r="D1" s="4" t="s">
        <v>102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>
      <c r="A2" s="2" t="s">
        <v>7</v>
      </c>
      <c r="B2" s="2" t="s">
        <v>8</v>
      </c>
      <c r="C2" s="2" t="s">
        <v>9</v>
      </c>
      <c r="D2" s="2"/>
      <c r="E2" s="2"/>
      <c r="F2" s="3">
        <v>0</v>
      </c>
      <c r="G2" s="3">
        <v>0</v>
      </c>
      <c r="H2" s="3">
        <v>3018416</v>
      </c>
    </row>
    <row r="3" spans="1:8">
      <c r="A3" s="2" t="s">
        <v>10</v>
      </c>
      <c r="B3" s="2" t="s">
        <v>11</v>
      </c>
      <c r="C3" s="2" t="s">
        <v>12</v>
      </c>
      <c r="D3" s="2">
        <f>_xlfn.XLOOKUP(C3,Sheet1!A:A,Sheet1!B:B)</f>
        <v>886258030190</v>
      </c>
      <c r="E3" s="2" t="s">
        <v>13</v>
      </c>
      <c r="F3" s="3">
        <v>0</v>
      </c>
      <c r="G3" s="3">
        <v>15000</v>
      </c>
      <c r="H3" s="3">
        <v>3033416</v>
      </c>
    </row>
    <row r="4" spans="1:8">
      <c r="A4" s="2" t="s">
        <v>10</v>
      </c>
      <c r="B4" s="2" t="s">
        <v>14</v>
      </c>
      <c r="C4" s="2" t="s">
        <v>15</v>
      </c>
      <c r="D4" s="2">
        <f>_xlfn.XLOOKUP(C4,Sheet1!A:A,Sheet1!B:B)</f>
        <v>886258387834</v>
      </c>
      <c r="E4" s="2" t="s">
        <v>16</v>
      </c>
      <c r="F4" s="3">
        <v>0</v>
      </c>
      <c r="G4" s="3">
        <v>1000</v>
      </c>
      <c r="H4" s="3">
        <v>3034416</v>
      </c>
    </row>
    <row r="5" spans="1:8">
      <c r="A5" s="2" t="s">
        <v>10</v>
      </c>
      <c r="B5" s="2" t="s">
        <v>17</v>
      </c>
      <c r="C5" s="2" t="s">
        <v>18</v>
      </c>
      <c r="D5" s="2">
        <f>_xlfn.XLOOKUP(C5,Sheet1!A:A,Sheet1!B:B)</f>
        <v>886258908214</v>
      </c>
      <c r="E5" s="2" t="s">
        <v>19</v>
      </c>
      <c r="F5" s="3">
        <v>0</v>
      </c>
      <c r="G5" s="3">
        <v>1000</v>
      </c>
      <c r="H5" s="3">
        <v>3035416</v>
      </c>
    </row>
    <row r="6" spans="1:8">
      <c r="A6" s="2" t="s">
        <v>10</v>
      </c>
      <c r="B6" s="2" t="s">
        <v>20</v>
      </c>
      <c r="C6" s="2" t="s">
        <v>21</v>
      </c>
      <c r="D6" s="2">
        <f>_xlfn.XLOOKUP(C6,Sheet1!A:A,Sheet1!B:B)</f>
        <v>886258689743</v>
      </c>
      <c r="E6" s="2" t="s">
        <v>22</v>
      </c>
      <c r="F6" s="3">
        <v>0</v>
      </c>
      <c r="G6" s="3">
        <v>500</v>
      </c>
      <c r="H6" s="3">
        <v>3035916</v>
      </c>
    </row>
    <row r="7" spans="1:8">
      <c r="A7" s="2" t="s">
        <v>10</v>
      </c>
      <c r="B7" s="2" t="s">
        <v>23</v>
      </c>
      <c r="C7" s="2">
        <v>20145557704</v>
      </c>
      <c r="D7" s="2">
        <f>_xlfn.XLOOKUP(C7,Sheet1!A:A,Sheet1!B:B)</f>
        <v>876258662300</v>
      </c>
      <c r="E7" s="2" t="s">
        <v>24</v>
      </c>
      <c r="F7" s="3">
        <v>0</v>
      </c>
      <c r="G7" s="3">
        <v>253500</v>
      </c>
      <c r="H7" s="3">
        <v>3289416</v>
      </c>
    </row>
    <row r="8" spans="1:8">
      <c r="A8" s="2" t="s">
        <v>10</v>
      </c>
      <c r="B8" s="2" t="s">
        <v>25</v>
      </c>
      <c r="C8" s="2">
        <v>20145557729</v>
      </c>
      <c r="D8" s="2">
        <f>_xlfn.XLOOKUP(C8,Sheet1!A:A,Sheet1!B:B)</f>
        <v>876258637809</v>
      </c>
      <c r="E8" s="2" t="s">
        <v>26</v>
      </c>
      <c r="F8" s="3">
        <v>0</v>
      </c>
      <c r="G8" s="3">
        <v>25000</v>
      </c>
      <c r="H8" s="3">
        <v>3314416</v>
      </c>
    </row>
    <row r="9" spans="1:8">
      <c r="A9" s="2" t="s">
        <v>10</v>
      </c>
      <c r="B9" s="2" t="s">
        <v>27</v>
      </c>
      <c r="C9" s="2">
        <v>20145554356</v>
      </c>
      <c r="D9" s="2">
        <f>_xlfn.XLOOKUP(C9,Sheet1!A:A,Sheet1!B:B)</f>
        <v>876258050845</v>
      </c>
      <c r="E9" s="2" t="s">
        <v>28</v>
      </c>
      <c r="F9" s="3">
        <v>0</v>
      </c>
      <c r="G9" s="3">
        <v>193000</v>
      </c>
      <c r="H9" s="3">
        <v>3507416</v>
      </c>
    </row>
    <row r="10" spans="1:8">
      <c r="A10" s="2" t="s">
        <v>10</v>
      </c>
      <c r="B10" s="2" t="s">
        <v>29</v>
      </c>
      <c r="C10" s="2" t="s">
        <v>30</v>
      </c>
      <c r="D10" s="2">
        <f>_xlfn.XLOOKUP(C10,Sheet1!A:A,Sheet1!B:B)</f>
        <v>886258309053</v>
      </c>
      <c r="E10" s="2" t="s">
        <v>31</v>
      </c>
      <c r="F10" s="3">
        <v>0</v>
      </c>
      <c r="G10" s="3">
        <v>6000</v>
      </c>
      <c r="H10" s="3">
        <v>3513416</v>
      </c>
    </row>
    <row r="11" spans="1:8">
      <c r="A11" s="2" t="s">
        <v>10</v>
      </c>
      <c r="B11" s="2" t="s">
        <v>32</v>
      </c>
      <c r="C11" s="2" t="s">
        <v>33</v>
      </c>
      <c r="D11" s="2">
        <f>_xlfn.XLOOKUP(C11,Sheet1!A:A,Sheet1!B:B)</f>
        <v>886258218870</v>
      </c>
      <c r="E11" s="2" t="s">
        <v>34</v>
      </c>
      <c r="F11" s="3">
        <v>0</v>
      </c>
      <c r="G11" s="3">
        <v>5000</v>
      </c>
      <c r="H11" s="3">
        <v>3518416</v>
      </c>
    </row>
    <row r="12" spans="1:8">
      <c r="A12" s="2" t="s">
        <v>10</v>
      </c>
      <c r="B12" s="2" t="s">
        <v>35</v>
      </c>
      <c r="C12" s="7">
        <v>20145554381</v>
      </c>
      <c r="D12" s="2">
        <f>_xlfn.XLOOKUP(C12,Sheet1!A:A,Sheet1!B:B)</f>
        <v>876258541732</v>
      </c>
      <c r="E12" s="2" t="s">
        <v>36</v>
      </c>
      <c r="F12" s="3">
        <v>0</v>
      </c>
      <c r="G12" s="3">
        <v>200500</v>
      </c>
      <c r="H12" s="3">
        <v>3718916</v>
      </c>
    </row>
    <row r="13" spans="1:8">
      <c r="A13" s="2" t="s">
        <v>10</v>
      </c>
      <c r="B13" s="2" t="s">
        <v>37</v>
      </c>
      <c r="C13" s="7">
        <v>20145557795</v>
      </c>
      <c r="D13" s="2">
        <f>_xlfn.XLOOKUP(C13,Sheet1!A:A,Sheet1!B:B)</f>
        <v>876258746661</v>
      </c>
      <c r="E13" s="2" t="s">
        <v>38</v>
      </c>
      <c r="F13" s="3">
        <v>0</v>
      </c>
      <c r="G13" s="3">
        <v>260000</v>
      </c>
      <c r="H13" s="3">
        <v>3978916</v>
      </c>
    </row>
    <row r="14" spans="1:8">
      <c r="A14" s="2" t="s">
        <v>10</v>
      </c>
      <c r="B14" s="2" t="s">
        <v>39</v>
      </c>
      <c r="C14" s="2" t="s">
        <v>40</v>
      </c>
      <c r="D14" s="2">
        <f>_xlfn.XLOOKUP(C14,Sheet1!A:A,Sheet1!B:B)</f>
        <v>886258979044</v>
      </c>
      <c r="E14" s="2" t="s">
        <v>41</v>
      </c>
      <c r="F14" s="3">
        <v>0</v>
      </c>
      <c r="G14" s="3">
        <v>1000</v>
      </c>
      <c r="H14" s="3">
        <v>3979916</v>
      </c>
    </row>
    <row r="15" spans="1:8">
      <c r="A15" s="2" t="s">
        <v>10</v>
      </c>
      <c r="B15" s="2" t="s">
        <v>42</v>
      </c>
      <c r="C15" s="2" t="s">
        <v>43</v>
      </c>
      <c r="D15" s="2">
        <f>_xlfn.XLOOKUP(C15,Sheet1!A:A,Sheet1!B:B)</f>
        <v>886258419891</v>
      </c>
      <c r="E15" s="2" t="s">
        <v>44</v>
      </c>
      <c r="F15" s="3">
        <v>0</v>
      </c>
      <c r="G15" s="3">
        <v>1000</v>
      </c>
      <c r="H15" s="3">
        <v>3980916</v>
      </c>
    </row>
    <row r="16" spans="1:8">
      <c r="A16" s="2" t="s">
        <v>10</v>
      </c>
      <c r="B16" s="2" t="s">
        <v>45</v>
      </c>
      <c r="C16" s="7">
        <v>20145558152</v>
      </c>
      <c r="D16" s="2">
        <f>_xlfn.XLOOKUP(C16,Sheet1!A:A,Sheet1!B:B)</f>
        <v>876258206686</v>
      </c>
      <c r="E16" s="2" t="s">
        <v>46</v>
      </c>
      <c r="F16" s="3">
        <v>0</v>
      </c>
      <c r="G16" s="3">
        <v>155000</v>
      </c>
      <c r="H16" s="3">
        <v>4135916</v>
      </c>
    </row>
    <row r="17" spans="1:8">
      <c r="A17" s="2" t="s">
        <v>10</v>
      </c>
      <c r="B17" s="2" t="s">
        <v>47</v>
      </c>
      <c r="C17" s="2" t="s">
        <v>48</v>
      </c>
      <c r="D17" s="2">
        <f>_xlfn.XLOOKUP(C17,Sheet1!A:A,Sheet1!B:B)</f>
        <v>886258769498</v>
      </c>
      <c r="E17" s="2" t="s">
        <v>49</v>
      </c>
      <c r="F17" s="3">
        <v>0</v>
      </c>
      <c r="G17" s="3">
        <v>32500</v>
      </c>
      <c r="H17" s="3">
        <v>4168416</v>
      </c>
    </row>
    <row r="18" spans="1:8">
      <c r="A18" s="2" t="s">
        <v>10</v>
      </c>
      <c r="B18" s="2" t="s">
        <v>50</v>
      </c>
      <c r="C18" s="2" t="s">
        <v>51</v>
      </c>
      <c r="D18" s="2">
        <f>_xlfn.XLOOKUP(C18,Sheet1!A:A,Sheet1!B:B)</f>
        <v>886258458835</v>
      </c>
      <c r="E18" s="2" t="s">
        <v>52</v>
      </c>
      <c r="F18" s="3">
        <v>0</v>
      </c>
      <c r="G18" s="3">
        <v>500</v>
      </c>
      <c r="H18" s="3">
        <v>4168916</v>
      </c>
    </row>
    <row r="19" spans="1:8">
      <c r="A19" s="2" t="s">
        <v>10</v>
      </c>
      <c r="B19" s="2" t="s">
        <v>53</v>
      </c>
      <c r="C19" s="2" t="s">
        <v>54</v>
      </c>
      <c r="D19" s="2">
        <f>_xlfn.XLOOKUP(C19,Sheet1!A:A,Sheet1!B:B)</f>
        <v>886258459821</v>
      </c>
      <c r="E19" s="2" t="s">
        <v>55</v>
      </c>
      <c r="F19" s="3">
        <v>0</v>
      </c>
      <c r="G19" s="3">
        <v>15000</v>
      </c>
      <c r="H19" s="3">
        <v>4183916</v>
      </c>
    </row>
    <row r="20" spans="1:8">
      <c r="A20" s="2" t="s">
        <v>10</v>
      </c>
      <c r="B20" s="2" t="s">
        <v>56</v>
      </c>
      <c r="C20" s="7">
        <v>20145557818</v>
      </c>
      <c r="D20" s="2">
        <f>_xlfn.XLOOKUP(C20,Sheet1!A:A,Sheet1!B:B)</f>
        <v>876258376984</v>
      </c>
      <c r="E20" s="2" t="s">
        <v>57</v>
      </c>
      <c r="F20" s="3">
        <v>0</v>
      </c>
      <c r="G20" s="3">
        <v>130000</v>
      </c>
      <c r="H20" s="3">
        <v>4313916</v>
      </c>
    </row>
    <row r="21" spans="1:8">
      <c r="A21" s="2" t="s">
        <v>10</v>
      </c>
      <c r="B21" s="2" t="s">
        <v>58</v>
      </c>
      <c r="C21" s="7">
        <v>20145557688</v>
      </c>
      <c r="D21" s="2">
        <f>_xlfn.XLOOKUP(C21,Sheet1!A:A,Sheet1!B:B)</f>
        <v>876258230458</v>
      </c>
      <c r="E21" s="2" t="s">
        <v>59</v>
      </c>
      <c r="F21" s="3">
        <v>0</v>
      </c>
      <c r="G21" s="3">
        <v>208000</v>
      </c>
      <c r="H21" s="3">
        <v>4521916</v>
      </c>
    </row>
    <row r="22" spans="1:8">
      <c r="A22" s="2" t="s">
        <v>10</v>
      </c>
      <c r="B22" s="2" t="s">
        <v>60</v>
      </c>
      <c r="C22" s="7">
        <v>20145554541</v>
      </c>
      <c r="D22" s="2">
        <f>_xlfn.XLOOKUP(C22,Sheet1!A:A,Sheet1!B:B)</f>
        <v>886258102608</v>
      </c>
      <c r="E22" s="2" t="s">
        <v>61</v>
      </c>
      <c r="F22" s="3">
        <v>0</v>
      </c>
      <c r="G22" s="3">
        <v>50000</v>
      </c>
      <c r="H22" s="3">
        <v>4571916</v>
      </c>
    </row>
    <row r="23" spans="1:8">
      <c r="A23" s="2" t="s">
        <v>10</v>
      </c>
      <c r="B23" s="2" t="s">
        <v>62</v>
      </c>
      <c r="C23" s="2" t="s">
        <v>63</v>
      </c>
      <c r="D23" s="2">
        <f>_xlfn.XLOOKUP(C23,Sheet1!A:A,Sheet1!B:B)</f>
        <v>886258523687</v>
      </c>
      <c r="E23" s="2" t="s">
        <v>64</v>
      </c>
      <c r="F23" s="3">
        <v>0</v>
      </c>
      <c r="G23" s="3">
        <v>5000</v>
      </c>
      <c r="H23" s="3">
        <v>4576916</v>
      </c>
    </row>
    <row r="24" spans="1:8">
      <c r="A24" s="2" t="s">
        <v>10</v>
      </c>
      <c r="B24" s="2" t="s">
        <v>65</v>
      </c>
      <c r="C24" s="7">
        <v>20145558208</v>
      </c>
      <c r="D24" s="2">
        <f>_xlfn.XLOOKUP(C24,Sheet1!A:A,Sheet1!B:B)</f>
        <v>876258994100</v>
      </c>
      <c r="E24" s="2" t="s">
        <v>66</v>
      </c>
      <c r="F24" s="3">
        <v>0</v>
      </c>
      <c r="G24" s="3">
        <v>105000</v>
      </c>
      <c r="H24" s="3">
        <v>4681916</v>
      </c>
    </row>
    <row r="25" spans="1:8">
      <c r="A25" s="2" t="s">
        <v>10</v>
      </c>
      <c r="B25" s="2" t="s">
        <v>67</v>
      </c>
      <c r="C25" s="2" t="s">
        <v>68</v>
      </c>
      <c r="D25" s="2">
        <f>_xlfn.XLOOKUP(C25,Sheet1!A:A,Sheet1!B:B)</f>
        <v>886258009729</v>
      </c>
      <c r="E25" s="2" t="s">
        <v>69</v>
      </c>
      <c r="F25" s="3">
        <v>0</v>
      </c>
      <c r="G25" s="3">
        <v>1000</v>
      </c>
      <c r="H25" s="3">
        <v>4682916</v>
      </c>
    </row>
    <row r="26" spans="1:8">
      <c r="A26" s="2" t="s">
        <v>10</v>
      </c>
      <c r="B26" s="2" t="s">
        <v>70</v>
      </c>
      <c r="C26" s="7">
        <v>20145558544</v>
      </c>
      <c r="D26" s="2">
        <f>_xlfn.XLOOKUP(C26,Sheet1!A:A,Sheet1!B:B)</f>
        <v>886258574259</v>
      </c>
      <c r="E26" s="2" t="s">
        <v>71</v>
      </c>
      <c r="F26" s="3">
        <v>0</v>
      </c>
      <c r="G26" s="3">
        <v>17000</v>
      </c>
      <c r="H26" s="3">
        <v>4699916</v>
      </c>
    </row>
    <row r="27" spans="1:8">
      <c r="A27" s="2" t="s">
        <v>10</v>
      </c>
      <c r="B27" s="2" t="s">
        <v>72</v>
      </c>
      <c r="C27" s="7">
        <v>20145558101</v>
      </c>
      <c r="D27" s="2">
        <f>_xlfn.XLOOKUP(C27,Sheet1!A:A,Sheet1!B:B)</f>
        <v>876258811829</v>
      </c>
      <c r="E27" s="2" t="s">
        <v>73</v>
      </c>
      <c r="F27" s="3">
        <v>0</v>
      </c>
      <c r="G27" s="3">
        <v>272500</v>
      </c>
      <c r="H27" s="3">
        <v>4972416</v>
      </c>
    </row>
    <row r="28" spans="1:8">
      <c r="A28" s="2" t="s">
        <v>10</v>
      </c>
      <c r="B28" s="2" t="s">
        <v>74</v>
      </c>
      <c r="C28" s="2" t="s">
        <v>75</v>
      </c>
      <c r="D28" s="2">
        <f>_xlfn.XLOOKUP(C28,Sheet1!A:A,Sheet1!B:B)</f>
        <v>886258830902</v>
      </c>
      <c r="E28" s="2" t="s">
        <v>76</v>
      </c>
      <c r="F28" s="3">
        <v>0</v>
      </c>
      <c r="G28" s="3">
        <v>1000</v>
      </c>
      <c r="H28" s="3">
        <v>4973416</v>
      </c>
    </row>
    <row r="29" spans="1:8">
      <c r="A29" s="2" t="s">
        <v>10</v>
      </c>
      <c r="B29" s="2" t="s">
        <v>77</v>
      </c>
      <c r="C29" s="2" t="s">
        <v>78</v>
      </c>
      <c r="D29" s="2">
        <f>_xlfn.XLOOKUP(C29,Sheet1!A:A,Sheet1!B:B)</f>
        <v>886258129379</v>
      </c>
      <c r="E29" s="2" t="s">
        <v>79</v>
      </c>
      <c r="F29" s="3">
        <v>0</v>
      </c>
      <c r="G29" s="3">
        <v>35000</v>
      </c>
      <c r="H29" s="3">
        <v>5008416</v>
      </c>
    </row>
    <row r="30" spans="1:8">
      <c r="A30" s="2" t="s">
        <v>10</v>
      </c>
      <c r="B30" s="2" t="s">
        <v>80</v>
      </c>
      <c r="C30" s="2" t="s">
        <v>81</v>
      </c>
      <c r="D30" s="2">
        <f>_xlfn.XLOOKUP(C30,Sheet1!A:A,Sheet1!B:B)</f>
        <v>886258577260</v>
      </c>
      <c r="E30" s="2" t="s">
        <v>82</v>
      </c>
      <c r="F30" s="3">
        <v>0</v>
      </c>
      <c r="G30" s="3">
        <v>1000</v>
      </c>
      <c r="H30" s="3">
        <v>5009416</v>
      </c>
    </row>
    <row r="31" spans="1:8">
      <c r="A31" s="2" t="s">
        <v>10</v>
      </c>
      <c r="B31" s="2" t="s">
        <v>83</v>
      </c>
      <c r="C31" s="2" t="s">
        <v>84</v>
      </c>
      <c r="D31" s="2">
        <f>_xlfn.XLOOKUP(C31,Sheet1!A:A,Sheet1!B:B)</f>
        <v>886258006565</v>
      </c>
      <c r="E31" s="2" t="s">
        <v>85</v>
      </c>
      <c r="F31" s="3">
        <v>0</v>
      </c>
      <c r="G31" s="3">
        <v>8000</v>
      </c>
      <c r="H31" s="3">
        <v>5017416</v>
      </c>
    </row>
    <row r="32" spans="1:8">
      <c r="A32" s="2" t="s">
        <v>10</v>
      </c>
      <c r="B32" s="2" t="s">
        <v>86</v>
      </c>
      <c r="C32" s="2" t="s">
        <v>87</v>
      </c>
      <c r="D32" s="2">
        <f>_xlfn.XLOOKUP(C32,Sheet1!A:A,Sheet1!B:B)</f>
        <v>886258988603</v>
      </c>
      <c r="E32" s="2" t="s">
        <v>88</v>
      </c>
      <c r="F32" s="3">
        <v>0</v>
      </c>
      <c r="G32" s="3">
        <v>3000</v>
      </c>
      <c r="H32" s="3">
        <v>5020416</v>
      </c>
    </row>
    <row r="33" spans="1:8">
      <c r="A33" s="2" t="s">
        <v>10</v>
      </c>
      <c r="B33" s="2" t="s">
        <v>89</v>
      </c>
      <c r="C33" s="7">
        <v>20145554568</v>
      </c>
      <c r="D33" s="2">
        <f>_xlfn.XLOOKUP(C33,Sheet1!A:A,Sheet1!B:B)</f>
        <v>886258668470</v>
      </c>
      <c r="E33" s="2" t="s">
        <v>90</v>
      </c>
      <c r="F33" s="3">
        <v>0</v>
      </c>
      <c r="G33" s="3">
        <v>51578</v>
      </c>
      <c r="H33" s="3">
        <v>5071994</v>
      </c>
    </row>
    <row r="34" spans="1:8">
      <c r="A34" s="2" t="s">
        <v>10</v>
      </c>
      <c r="B34" s="2" t="s">
        <v>91</v>
      </c>
      <c r="C34" s="2" t="s">
        <v>92</v>
      </c>
      <c r="D34" s="2">
        <f>_xlfn.XLOOKUP(C34,Sheet1!A:A,Sheet1!B:B)</f>
        <v>886258829105</v>
      </c>
      <c r="E34" s="2" t="s">
        <v>93</v>
      </c>
      <c r="F34" s="3">
        <v>0</v>
      </c>
      <c r="G34" s="3">
        <v>10000</v>
      </c>
      <c r="H34" s="3">
        <v>5081994</v>
      </c>
    </row>
    <row r="35" spans="1:8">
      <c r="A35" s="2" t="s">
        <v>10</v>
      </c>
      <c r="B35" s="2" t="s">
        <v>94</v>
      </c>
      <c r="C35" s="7">
        <v>20145558167</v>
      </c>
      <c r="D35" s="2">
        <f>_xlfn.XLOOKUP(C35,Sheet1!A:A,Sheet1!B:B)</f>
        <v>876258195073</v>
      </c>
      <c r="E35" s="2" t="s">
        <v>95</v>
      </c>
      <c r="F35" s="3">
        <v>0</v>
      </c>
      <c r="G35" s="3">
        <v>245500</v>
      </c>
      <c r="H35" s="3">
        <v>5327494</v>
      </c>
    </row>
    <row r="36" spans="1:8">
      <c r="A36" s="2" t="s">
        <v>10</v>
      </c>
      <c r="B36" s="2" t="s">
        <v>96</v>
      </c>
      <c r="C36" s="2" t="s">
        <v>97</v>
      </c>
      <c r="D36" s="2">
        <f>_xlfn.XLOOKUP(C36,Sheet1!A:A,Sheet1!B:B)</f>
        <v>886258173602</v>
      </c>
      <c r="E36" s="2" t="s">
        <v>98</v>
      </c>
      <c r="F36" s="3">
        <v>0</v>
      </c>
      <c r="G36" s="3">
        <v>12000</v>
      </c>
      <c r="H36" s="3">
        <v>5339494</v>
      </c>
    </row>
    <row r="37" spans="1:8">
      <c r="A37" s="2" t="s">
        <v>10</v>
      </c>
      <c r="B37" s="2" t="s">
        <v>99</v>
      </c>
      <c r="C37" s="2" t="s">
        <v>100</v>
      </c>
      <c r="D37" s="2">
        <f>_xlfn.XLOOKUP(C37,Sheet1!A:A,Sheet1!B:B)</f>
        <v>886258177825</v>
      </c>
      <c r="E37" s="2" t="s">
        <v>90</v>
      </c>
      <c r="F37" s="3">
        <v>0</v>
      </c>
      <c r="G37" s="3">
        <v>1000</v>
      </c>
      <c r="H37" s="3">
        <v>5340494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9330-BA37-47FF-A282-275652A63B6E}">
  <dimension ref="A1:B37"/>
  <sheetViews>
    <sheetView workbookViewId="0">
      <selection activeCell="C1" sqref="C1"/>
    </sheetView>
  </sheetViews>
  <sheetFormatPr defaultRowHeight="14.5"/>
  <cols>
    <col min="1" max="1" width="10.90625" bestFit="1" customWidth="1"/>
    <col min="2" max="2" width="11.81640625" bestFit="1" customWidth="1"/>
  </cols>
  <sheetData>
    <row r="1" spans="1:2">
      <c r="A1" s="5">
        <v>20145554356</v>
      </c>
      <c r="B1">
        <v>876258050845</v>
      </c>
    </row>
    <row r="2" spans="1:2">
      <c r="A2" s="5">
        <v>20145554381</v>
      </c>
      <c r="B2">
        <v>876258541732</v>
      </c>
    </row>
    <row r="3" spans="1:2">
      <c r="A3" s="5">
        <v>20145554541</v>
      </c>
      <c r="B3">
        <v>886258102608</v>
      </c>
    </row>
    <row r="4" spans="1:2">
      <c r="A4" s="5">
        <v>20145554568</v>
      </c>
      <c r="B4">
        <v>886258668470</v>
      </c>
    </row>
    <row r="5" spans="1:2">
      <c r="A5" s="5">
        <v>20145557688</v>
      </c>
      <c r="B5">
        <v>876258230458</v>
      </c>
    </row>
    <row r="6" spans="1:2">
      <c r="A6" s="5">
        <v>20145557704</v>
      </c>
      <c r="B6">
        <v>876258662300</v>
      </c>
    </row>
    <row r="7" spans="1:2">
      <c r="A7" s="5">
        <v>20145557729</v>
      </c>
      <c r="B7">
        <v>876258637809</v>
      </c>
    </row>
    <row r="8" spans="1:2">
      <c r="A8" s="5">
        <v>20145557795</v>
      </c>
      <c r="B8">
        <v>876258746661</v>
      </c>
    </row>
    <row r="9" spans="1:2">
      <c r="A9" s="5">
        <v>20145557818</v>
      </c>
      <c r="B9">
        <v>876258376984</v>
      </c>
    </row>
    <row r="10" spans="1:2">
      <c r="A10" s="5">
        <v>20145558101</v>
      </c>
      <c r="B10">
        <v>876258811829</v>
      </c>
    </row>
    <row r="11" spans="1:2">
      <c r="A11" s="5">
        <v>20145558152</v>
      </c>
      <c r="B11">
        <v>876258206686</v>
      </c>
    </row>
    <row r="12" spans="1:2">
      <c r="A12" s="5">
        <v>20145558167</v>
      </c>
      <c r="B12">
        <v>876258195073</v>
      </c>
    </row>
    <row r="13" spans="1:2">
      <c r="A13" s="5">
        <v>20145558208</v>
      </c>
      <c r="B13">
        <v>876258994100</v>
      </c>
    </row>
    <row r="14" spans="1:2">
      <c r="A14" s="5">
        <v>20145558544</v>
      </c>
      <c r="B14">
        <v>886258574259</v>
      </c>
    </row>
    <row r="15" spans="1:2">
      <c r="A15" s="5" t="s">
        <v>33</v>
      </c>
      <c r="B15">
        <v>886258218870</v>
      </c>
    </row>
    <row r="16" spans="1:2">
      <c r="A16" s="5" t="s">
        <v>40</v>
      </c>
      <c r="B16">
        <v>886258979044</v>
      </c>
    </row>
    <row r="17" spans="1:2">
      <c r="A17" s="5" t="s">
        <v>21</v>
      </c>
      <c r="B17">
        <v>886258689743</v>
      </c>
    </row>
    <row r="18" spans="1:2">
      <c r="A18" s="5" t="s">
        <v>30</v>
      </c>
      <c r="B18">
        <v>886258309053</v>
      </c>
    </row>
    <row r="19" spans="1:2">
      <c r="A19" s="5" t="s">
        <v>87</v>
      </c>
      <c r="B19">
        <v>886258988603</v>
      </c>
    </row>
    <row r="20" spans="1:2">
      <c r="A20" s="5" t="s">
        <v>78</v>
      </c>
      <c r="B20">
        <v>886258129379</v>
      </c>
    </row>
    <row r="21" spans="1:2">
      <c r="A21" s="5" t="s">
        <v>51</v>
      </c>
      <c r="B21">
        <v>886258458835</v>
      </c>
    </row>
    <row r="22" spans="1:2">
      <c r="A22" s="5" t="s">
        <v>92</v>
      </c>
      <c r="B22">
        <v>886258829105</v>
      </c>
    </row>
    <row r="23" spans="1:2">
      <c r="A23" s="5" t="s">
        <v>100</v>
      </c>
      <c r="B23">
        <v>886258177825</v>
      </c>
    </row>
    <row r="24" spans="1:2">
      <c r="A24" s="5" t="s">
        <v>97</v>
      </c>
      <c r="B24">
        <v>886258173602</v>
      </c>
    </row>
    <row r="25" spans="1:2">
      <c r="A25" s="5" t="s">
        <v>63</v>
      </c>
      <c r="B25">
        <v>886258523687</v>
      </c>
    </row>
    <row r="26" spans="1:2">
      <c r="A26" s="5" t="s">
        <v>54</v>
      </c>
      <c r="B26">
        <v>886258459821</v>
      </c>
    </row>
    <row r="27" spans="1:2">
      <c r="A27" s="5" t="s">
        <v>84</v>
      </c>
      <c r="B27">
        <v>886258006565</v>
      </c>
    </row>
    <row r="28" spans="1:2">
      <c r="A28" s="5" t="s">
        <v>81</v>
      </c>
      <c r="B28">
        <v>886258577260</v>
      </c>
    </row>
    <row r="29" spans="1:2">
      <c r="A29" s="5" t="s">
        <v>15</v>
      </c>
      <c r="B29">
        <v>886258387834</v>
      </c>
    </row>
    <row r="30" spans="1:2">
      <c r="A30" s="5" t="s">
        <v>18</v>
      </c>
      <c r="B30">
        <v>886258908214</v>
      </c>
    </row>
    <row r="31" spans="1:2">
      <c r="A31" s="5" t="s">
        <v>68</v>
      </c>
      <c r="B31">
        <v>886258009729</v>
      </c>
    </row>
    <row r="32" spans="1:2">
      <c r="A32" s="5" t="s">
        <v>12</v>
      </c>
      <c r="B32">
        <v>886258030190</v>
      </c>
    </row>
    <row r="33" spans="1:2">
      <c r="A33" s="5" t="s">
        <v>43</v>
      </c>
      <c r="B33">
        <v>886258419891</v>
      </c>
    </row>
    <row r="34" spans="1:2">
      <c r="A34" s="5" t="s">
        <v>75</v>
      </c>
      <c r="B34">
        <v>886258830902</v>
      </c>
    </row>
    <row r="35" spans="1:2">
      <c r="A35" s="5" t="s">
        <v>48</v>
      </c>
      <c r="B35">
        <v>886258769498</v>
      </c>
    </row>
    <row r="36" spans="1:2">
      <c r="A36" s="6"/>
    </row>
    <row r="37" spans="1:2">
      <c r="A37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2026-09-16T09:55:40Z</dcterms:created>
  <dcterms:modified xsi:type="dcterms:W3CDTF">2026-09-16T14:59:56Z</dcterms:modified>
</cp:coreProperties>
</file>